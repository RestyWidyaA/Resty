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siswa\Documents\"/>
    </mc:Choice>
  </mc:AlternateContent>
  <xr:revisionPtr revIDLastSave="0" documentId="8_{61F1E1DB-1778-4EF0-8379-9A64659CC22C}" xr6:coauthVersionLast="47" xr6:coauthVersionMax="47" xr10:uidLastSave="{00000000-0000-0000-0000-000000000000}"/>
  <bookViews>
    <workbookView xWindow="-120" yWindow="-120" windowWidth="29040" windowHeight="15720" xr2:uid="{6F7A9179-55B5-4246-8FC8-1132E6D0F5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5" i="1" l="1"/>
  <c r="C48" i="1"/>
  <c r="F13" i="1"/>
  <c r="J13" i="1" s="1"/>
  <c r="E13" i="1"/>
  <c r="I13" i="1" s="1"/>
  <c r="D13" i="1"/>
  <c r="C13" i="1"/>
  <c r="C29" i="1"/>
  <c r="D55" i="1" l="1"/>
  <c r="F55" i="1"/>
  <c r="C56" i="1"/>
  <c r="F56" i="1" s="1"/>
  <c r="F48" i="1"/>
  <c r="D48" i="1"/>
  <c r="C49" i="1" s="1"/>
  <c r="H13" i="1"/>
  <c r="C14" i="1"/>
  <c r="F14" i="1"/>
  <c r="J14" i="1" s="1"/>
  <c r="D14" i="1"/>
  <c r="E14" i="1"/>
  <c r="G13" i="1"/>
  <c r="G29" i="1"/>
  <c r="D29" i="1"/>
  <c r="E29" i="1" s="1"/>
  <c r="I29" i="1" s="1"/>
  <c r="G55" i="1" l="1"/>
  <c r="E55" i="1"/>
  <c r="D56" i="1" s="1"/>
  <c r="G56" i="1" s="1"/>
  <c r="G48" i="1"/>
  <c r="E48" i="1"/>
  <c r="F49" i="1"/>
  <c r="I14" i="1"/>
  <c r="D15" i="1"/>
  <c r="H14" i="1"/>
  <c r="C15" i="1"/>
  <c r="F15" i="1"/>
  <c r="J15" i="1" s="1"/>
  <c r="E15" i="1"/>
  <c r="G14" i="1"/>
  <c r="H29" i="1"/>
  <c r="F29" i="1"/>
  <c r="J29" i="1" s="1"/>
  <c r="C30" i="1"/>
  <c r="H55" i="1" l="1"/>
  <c r="E56" i="1"/>
  <c r="H56" i="1" s="1"/>
  <c r="H48" i="1"/>
  <c r="D49" i="1"/>
  <c r="E49" i="1" s="1"/>
  <c r="H15" i="1"/>
  <c r="C16" i="1"/>
  <c r="G16" i="1" s="1"/>
  <c r="G15" i="1"/>
  <c r="E16" i="1"/>
  <c r="I16" i="1" s="1"/>
  <c r="D16" i="1"/>
  <c r="I15" i="1"/>
  <c r="F16" i="1"/>
  <c r="D30" i="1"/>
  <c r="E30" i="1" s="1"/>
  <c r="I30" i="1" s="1"/>
  <c r="G30" i="1"/>
  <c r="G49" i="1" l="1"/>
  <c r="C50" i="1"/>
  <c r="H49" i="1"/>
  <c r="F17" i="1"/>
  <c r="J17" i="1" s="1"/>
  <c r="H16" i="1"/>
  <c r="C17" i="1"/>
  <c r="D18" i="1" s="1"/>
  <c r="H18" i="1" s="1"/>
  <c r="J16" i="1"/>
  <c r="E17" i="1"/>
  <c r="I17" i="1" s="1"/>
  <c r="D17" i="1"/>
  <c r="F30" i="1"/>
  <c r="J30" i="1" s="1"/>
  <c r="H30" i="1"/>
  <c r="C31" i="1"/>
  <c r="F50" i="1" l="1"/>
  <c r="D50" i="1"/>
  <c r="H17" i="1"/>
  <c r="F18" i="1"/>
  <c r="C18" i="1"/>
  <c r="G18" i="1" s="1"/>
  <c r="G17" i="1"/>
  <c r="E18" i="1"/>
  <c r="D31" i="1"/>
  <c r="E31" i="1" s="1"/>
  <c r="I31" i="1" s="1"/>
  <c r="G31" i="1"/>
  <c r="C51" i="1" l="1"/>
  <c r="F51" i="1" s="1"/>
  <c r="G50" i="1"/>
  <c r="E50" i="1"/>
  <c r="D51" i="1" s="1"/>
  <c r="C19" i="1"/>
  <c r="G19" i="1" s="1"/>
  <c r="F19" i="1"/>
  <c r="J19" i="1"/>
  <c r="J18" i="1"/>
  <c r="E19" i="1"/>
  <c r="I18" i="1"/>
  <c r="D19" i="1"/>
  <c r="H31" i="1"/>
  <c r="F31" i="1"/>
  <c r="J31" i="1" s="1"/>
  <c r="C32" i="1"/>
  <c r="G51" i="1" l="1"/>
  <c r="C52" i="1"/>
  <c r="F52" i="1" s="1"/>
  <c r="H50" i="1"/>
  <c r="E51" i="1"/>
  <c r="I19" i="1"/>
  <c r="D20" i="1"/>
  <c r="H20" i="1" s="1"/>
  <c r="H19" i="1"/>
  <c r="F20" i="1"/>
  <c r="J20" i="1" s="1"/>
  <c r="C20" i="1"/>
  <c r="E20" i="1"/>
  <c r="G32" i="1"/>
  <c r="D32" i="1"/>
  <c r="H51" i="1" l="1"/>
  <c r="D52" i="1"/>
  <c r="E52" i="1" s="1"/>
  <c r="D21" i="1"/>
  <c r="H21" i="1" s="1"/>
  <c r="G20" i="1"/>
  <c r="E21" i="1"/>
  <c r="I20" i="1"/>
  <c r="C21" i="1"/>
  <c r="F21" i="1"/>
  <c r="J21" i="1" s="1"/>
  <c r="H32" i="1"/>
  <c r="E32" i="1"/>
  <c r="F32" i="1" s="1"/>
  <c r="J32" i="1" s="1"/>
  <c r="H52" i="1" l="1"/>
  <c r="G52" i="1"/>
  <c r="C53" i="1"/>
  <c r="I21" i="1"/>
  <c r="F22" i="1"/>
  <c r="J22" i="1" s="1"/>
  <c r="C22" i="1"/>
  <c r="G22" i="1" s="1"/>
  <c r="D22" i="1"/>
  <c r="H22" i="1" s="1"/>
  <c r="G21" i="1"/>
  <c r="E22" i="1"/>
  <c r="I22" i="1" s="1"/>
  <c r="I32" i="1"/>
  <c r="C33" i="1"/>
  <c r="F53" i="1" l="1"/>
  <c r="D53" i="1"/>
  <c r="D33" i="1"/>
  <c r="E33" i="1" s="1"/>
  <c r="I33" i="1" s="1"/>
  <c r="G33" i="1"/>
  <c r="C54" i="1" l="1"/>
  <c r="F54" i="1" s="1"/>
  <c r="G53" i="1"/>
  <c r="E53" i="1"/>
  <c r="F33" i="1"/>
  <c r="J33" i="1" s="1"/>
  <c r="H33" i="1"/>
  <c r="D54" i="1" l="1"/>
  <c r="H53" i="1"/>
  <c r="G54" i="1" l="1"/>
  <c r="E54" i="1"/>
  <c r="H54" i="1" s="1"/>
</calcChain>
</file>

<file path=xl/sharedStrings.xml><?xml version="1.0" encoding="utf-8"?>
<sst xmlns="http://schemas.openxmlformats.org/spreadsheetml/2006/main" count="40" uniqueCount="17">
  <si>
    <t>SISTEM PERSAMAAN LINIER</t>
  </si>
  <si>
    <t>Metode Jacobi</t>
  </si>
  <si>
    <t>Iterasi</t>
  </si>
  <si>
    <t>&gt;&gt;</t>
  </si>
  <si>
    <t xml:space="preserve">10x1 - x2 + 2x3 = 6
-x1+ 11x2 - x3 + 3x4 = 25
 2x1 - x2 + 10x3 - x4 = -11
3x2 - x3 + 8x4 = 15 </t>
  </si>
  <si>
    <t>Solusi</t>
  </si>
  <si>
    <t>x1</t>
  </si>
  <si>
    <t>x2</t>
  </si>
  <si>
    <t>x3</t>
  </si>
  <si>
    <t>x4</t>
  </si>
  <si>
    <t>x1 = (6 + x2 - 2x3)/10
x2 = (25 + x1 + x3 - 3x4)/11
x3 = (-11 - 2x1 + x2 + x4)/10
x4 = (15 - 3x2 + x3)/8</t>
  </si>
  <si>
    <t>Galat</t>
  </si>
  <si>
    <t xml:space="preserve">x4 </t>
  </si>
  <si>
    <t>Metode Gauss</t>
  </si>
  <si>
    <t>Metode SOR</t>
  </si>
  <si>
    <t>4x1 + 3x2 = 24 
3x1 + 4x2 - x3 = 30
-x2 + 4x3 = -24</t>
  </si>
  <si>
    <t>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</si>
</sst>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1" applyFont="1" applyBorder="1"/>
    <xf numFmtId="0" fontId="0" fillId="0" borderId="2" xfId="0" applyBorder="1" applyAlignment="1">
      <alignment horizontal="center"/>
    </xf>
    <xf numFmtId="0" fontId="0" fillId="0" borderId="0" xfId="0" applyBorder="1" applyAlignment="1"/>
    <xf numFmtId="0" fontId="0" fillId="0" borderId="0" xfId="0" applyAlignment="1">
      <alignment horizontal="center" vertical="center" wrapText="1"/>
    </xf>
    <xf numFmtId="16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2" fillId="2" borderId="1" xfId="2" applyBorder="1" applyAlignment="1">
      <alignment horizontal="center"/>
    </xf>
    <xf numFmtId="167" fontId="2" fillId="2" borderId="1" xfId="2" applyNumberFormat="1" applyBorder="1" applyAlignment="1">
      <alignment horizontal="center"/>
    </xf>
    <xf numFmtId="9" fontId="2" fillId="2" borderId="1" xfId="2" applyNumberFormat="1" applyBorder="1"/>
    <xf numFmtId="0" fontId="2" fillId="2" borderId="1" xfId="2" applyBorder="1" applyAlignment="1">
      <alignment horizontal="center" vertical="center"/>
    </xf>
    <xf numFmtId="167" fontId="2" fillId="2" borderId="1" xfId="2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9" fontId="2" fillId="2" borderId="1" xfId="2" applyNumberFormat="1" applyBorder="1" applyAlignment="1">
      <alignment horizontal="center" vertical="center"/>
    </xf>
  </cellXfs>
  <cellStyles count="3">
    <cellStyle name="Neutral" xfId="2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Metode Jacobi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Sheet1!$C$10:$C$11</c:f>
              <c:strCache>
                <c:ptCount val="2"/>
                <c:pt idx="0">
                  <c:v>Solusi</c:v>
                </c:pt>
                <c:pt idx="1">
                  <c:v>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Sheet1!$B$12:$B$20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Sheet1!$C$12:$C$20</c:f>
              <c:numCache>
                <c:formatCode>General</c:formatCode>
                <c:ptCount val="9"/>
                <c:pt idx="0">
                  <c:v>0</c:v>
                </c:pt>
                <c:pt idx="1">
                  <c:v>0.6</c:v>
                </c:pt>
                <c:pt idx="2" formatCode="0.00000">
                  <c:v>1.0472727272727274</c:v>
                </c:pt>
                <c:pt idx="3" formatCode="0.00000">
                  <c:v>0.9326363636363636</c:v>
                </c:pt>
                <c:pt idx="4" formatCode="0.00000">
                  <c:v>1.0151987603305785</c:v>
                </c:pt>
                <c:pt idx="5" formatCode="0.00000">
                  <c:v>0.98899130165289262</c:v>
                </c:pt>
                <c:pt idx="6" formatCode="0.00000">
                  <c:v>1.003198653362134</c:v>
                </c:pt>
                <c:pt idx="7" formatCode="0.00000">
                  <c:v>0.99812847341754318</c:v>
                </c:pt>
                <c:pt idx="8" formatCode="0.00000">
                  <c:v>1.0006251342791859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8F-438A-9E97-3CB7AC92667C}"/>
            </c:ext>
          </c:extLst>
        </c:ser>
        <c:ser>
          <c:idx val="1"/>
          <c:order val="1"/>
          <c:tx>
            <c:strRef>
              <c:f>Sheet1!$D$10:$D$11</c:f>
              <c:strCache>
                <c:ptCount val="2"/>
                <c:pt idx="0">
                  <c:v>Solusi</c:v>
                </c:pt>
                <c:pt idx="1">
                  <c:v>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Sheet1!$B$12:$B$20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Sheet1!$D$12:$D$20</c:f>
              <c:numCache>
                <c:formatCode>General</c:formatCode>
                <c:ptCount val="9"/>
                <c:pt idx="0">
                  <c:v>0</c:v>
                </c:pt>
                <c:pt idx="1">
                  <c:v>2.2727272727272729</c:v>
                </c:pt>
                <c:pt idx="2">
                  <c:v>1.7159090909090908</c:v>
                </c:pt>
                <c:pt idx="3">
                  <c:v>2.0533057851239671</c:v>
                </c:pt>
                <c:pt idx="4">
                  <c:v>1.9536957644628101</c:v>
                </c:pt>
                <c:pt idx="5">
                  <c:v>2.0114147257700976</c:v>
                </c:pt>
                <c:pt idx="6">
                  <c:v>1.9922412606827571</c:v>
                </c:pt>
                <c:pt idx="7">
                  <c:v>2.0023068815526606</c:v>
                </c:pt>
                <c:pt idx="8">
                  <c:v>1.9986703011223563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8F-438A-9E97-3CB7AC92667C}"/>
            </c:ext>
          </c:extLst>
        </c:ser>
        <c:ser>
          <c:idx val="2"/>
          <c:order val="2"/>
          <c:tx>
            <c:strRef>
              <c:f>Sheet1!$E$10:$E$11</c:f>
              <c:strCache>
                <c:ptCount val="2"/>
                <c:pt idx="0">
                  <c:v>Solusi</c:v>
                </c:pt>
                <c:pt idx="1">
                  <c:v>x3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Sheet1!$B$12:$B$20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Sheet1!$E$12:$E$20</c:f>
              <c:numCache>
                <c:formatCode>0.0</c:formatCode>
                <c:ptCount val="9"/>
                <c:pt idx="0" formatCode="General">
                  <c:v>0</c:v>
                </c:pt>
                <c:pt idx="1">
                  <c:v>-1.1000000000000001</c:v>
                </c:pt>
                <c:pt idx="2" formatCode="0.00000">
                  <c:v>-0.80522727272727257</c:v>
                </c:pt>
                <c:pt idx="3" formatCode="0.00000">
                  <c:v>-1.0493409090909092</c:v>
                </c:pt>
                <c:pt idx="4" formatCode="0.00000">
                  <c:v>-0.9681086260330577</c:v>
                </c:pt>
                <c:pt idx="5" formatCode="0.00000">
                  <c:v>-1.0102859039256198</c:v>
                </c:pt>
                <c:pt idx="6" formatCode="0.00000">
                  <c:v>-0.99452173674633748</c:v>
                </c:pt>
                <c:pt idx="7" formatCode="0.00000">
                  <c:v>-1.0019722306195997</c:v>
                </c:pt>
                <c:pt idx="8" formatCode="0.00000">
                  <c:v>-0.99903557551317501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8F-438A-9E97-3CB7AC92667C}"/>
            </c:ext>
          </c:extLst>
        </c:ser>
        <c:ser>
          <c:idx val="3"/>
          <c:order val="3"/>
          <c:tx>
            <c:strRef>
              <c:f>Sheet1!$F$10:$F$11</c:f>
              <c:strCache>
                <c:ptCount val="2"/>
                <c:pt idx="0">
                  <c:v>Solusi</c:v>
                </c:pt>
                <c:pt idx="1">
                  <c:v>x4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Sheet1!$B$12:$B$20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Sheet1!$F$12:$F$20</c:f>
              <c:numCache>
                <c:formatCode>General</c:formatCode>
                <c:ptCount val="9"/>
                <c:pt idx="0">
                  <c:v>0</c:v>
                </c:pt>
                <c:pt idx="1">
                  <c:v>1.875</c:v>
                </c:pt>
                <c:pt idx="2" formatCode="0.00000">
                  <c:v>0.88522727272727275</c:v>
                </c:pt>
                <c:pt idx="3" formatCode="0.00000">
                  <c:v>1.1308806818181818</c:v>
                </c:pt>
                <c:pt idx="4" formatCode="0.00000">
                  <c:v>0.97384271694214875</c:v>
                </c:pt>
                <c:pt idx="5" formatCode="0.00000">
                  <c:v>1.0213505100723141</c:v>
                </c:pt>
                <c:pt idx="6" formatCode="0.00000">
                  <c:v>0.99443373984551098</c:v>
                </c:pt>
                <c:pt idx="7" formatCode="0.00000">
                  <c:v>1.0035943101506739</c:v>
                </c:pt>
                <c:pt idx="8" formatCode="0.00000">
                  <c:v>0.99888839059030232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8F-438A-9E97-3CB7AC926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904255"/>
        <c:axId val="755492207"/>
      </c:scatterChart>
      <c:valAx>
        <c:axId val="76390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492207"/>
        <c:crosses val="autoZero"/>
        <c:crossBetween val="midCat"/>
      </c:valAx>
      <c:valAx>
        <c:axId val="75549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904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Metode</a:t>
            </a:r>
            <a:r>
              <a:rPr lang="en-ID" baseline="0"/>
              <a:t> Gauss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Sheet1!$C$26:$C$27</c:f>
              <c:strCache>
                <c:ptCount val="2"/>
                <c:pt idx="0">
                  <c:v>Solusi</c:v>
                </c:pt>
                <c:pt idx="1">
                  <c:v>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Sheet1!$B$28:$B$33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Sheet1!$C$28:$C$33</c:f>
              <c:numCache>
                <c:formatCode>General</c:formatCode>
                <c:ptCount val="6"/>
                <c:pt idx="0">
                  <c:v>0</c:v>
                </c:pt>
                <c:pt idx="1">
                  <c:v>0.6</c:v>
                </c:pt>
                <c:pt idx="2">
                  <c:v>1.0301818181818183</c:v>
                </c:pt>
                <c:pt idx="3">
                  <c:v>1.0065850413223141</c:v>
                </c:pt>
                <c:pt idx="4">
                  <c:v>1.0008609786250939</c:v>
                </c:pt>
                <c:pt idx="5">
                  <c:v>1.0000912802859949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3E-4BDB-98EE-AC456A74C796}"/>
            </c:ext>
          </c:extLst>
        </c:ser>
        <c:ser>
          <c:idx val="1"/>
          <c:order val="1"/>
          <c:tx>
            <c:strRef>
              <c:f>Sheet1!$D$26:$D$27</c:f>
              <c:strCache>
                <c:ptCount val="2"/>
                <c:pt idx="0">
                  <c:v>Solusi</c:v>
                </c:pt>
                <c:pt idx="1">
                  <c:v>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Sheet1!$B$28:$B$33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Sheet1!$D$28:$D$33</c:f>
              <c:numCache>
                <c:formatCode>0.00000</c:formatCode>
                <c:ptCount val="6"/>
                <c:pt idx="0" formatCode="General">
                  <c:v>0</c:v>
                </c:pt>
                <c:pt idx="1">
                  <c:v>2.3272727272727276</c:v>
                </c:pt>
                <c:pt idx="2">
                  <c:v>2.0369380165289255</c:v>
                </c:pt>
                <c:pt idx="3">
                  <c:v>2.003555016904583</c:v>
                </c:pt>
                <c:pt idx="4">
                  <c:v>2.000298250656547</c:v>
                </c:pt>
                <c:pt idx="5">
                  <c:v>2.000021342246459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3E-4BDB-98EE-AC456A74C796}"/>
            </c:ext>
          </c:extLst>
        </c:ser>
        <c:ser>
          <c:idx val="2"/>
          <c:order val="2"/>
          <c:tx>
            <c:strRef>
              <c:f>Sheet1!$E$26:$E$27</c:f>
              <c:strCache>
                <c:ptCount val="2"/>
                <c:pt idx="0">
                  <c:v>Solusi</c:v>
                </c:pt>
                <c:pt idx="1">
                  <c:v>x3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Sheet1!$B$28:$B$33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Sheet1!$E$28:$E$33</c:f>
              <c:numCache>
                <c:formatCode>General</c:formatCode>
                <c:ptCount val="6"/>
                <c:pt idx="0">
                  <c:v>0</c:v>
                </c:pt>
                <c:pt idx="1">
                  <c:v>-0.98727272727272708</c:v>
                </c:pt>
                <c:pt idx="2">
                  <c:v>-1.0144561983471074</c:v>
                </c:pt>
                <c:pt idx="3">
                  <c:v>-1.0025273846731779</c:v>
                </c:pt>
                <c:pt idx="4">
                  <c:v>-1.0003072761017007</c:v>
                </c:pt>
                <c:pt idx="5">
                  <c:v>-1.0000311471834449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3E-4BDB-98EE-AC456A74C796}"/>
            </c:ext>
          </c:extLst>
        </c:ser>
        <c:ser>
          <c:idx val="3"/>
          <c:order val="3"/>
          <c:tx>
            <c:strRef>
              <c:f>Sheet1!$F$26:$F$27</c:f>
              <c:strCache>
                <c:ptCount val="2"/>
                <c:pt idx="0">
                  <c:v>Solusi</c:v>
                </c:pt>
                <c:pt idx="1">
                  <c:v>x4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Sheet1!$B$28:$B$33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Sheet1!$F$28:$F$33</c:f>
              <c:numCache>
                <c:formatCode>General</c:formatCode>
                <c:ptCount val="6"/>
                <c:pt idx="0">
                  <c:v>0</c:v>
                </c:pt>
                <c:pt idx="1">
                  <c:v>0.87886363636363629</c:v>
                </c:pt>
                <c:pt idx="2">
                  <c:v>0.98434121900826443</c:v>
                </c:pt>
                <c:pt idx="3">
                  <c:v>0.99835094557663417</c:v>
                </c:pt>
                <c:pt idx="4">
                  <c:v>0.99984974649108227</c:v>
                </c:pt>
                <c:pt idx="5">
                  <c:v>0.99998810325964727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3E-4BDB-98EE-AC456A74C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324431"/>
        <c:axId val="755495087"/>
      </c:scatterChart>
      <c:valAx>
        <c:axId val="82132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495087"/>
        <c:crosses val="autoZero"/>
        <c:crossBetween val="midCat"/>
      </c:valAx>
      <c:valAx>
        <c:axId val="75549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324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Metode</a:t>
            </a:r>
            <a:r>
              <a:rPr lang="en-ID" baseline="0"/>
              <a:t> SOR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Sheet1!$C$45:$C$46</c:f>
              <c:strCache>
                <c:ptCount val="2"/>
                <c:pt idx="0">
                  <c:v>Solusi</c:v>
                </c:pt>
                <c:pt idx="1">
                  <c:v>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Sheet1!$B$47:$B$54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Sheet1!$C$47:$C$54</c:f>
              <c:numCache>
                <c:formatCode>General</c:formatCode>
                <c:ptCount val="8"/>
                <c:pt idx="0">
                  <c:v>0</c:v>
                </c:pt>
                <c:pt idx="1">
                  <c:v>7.5</c:v>
                </c:pt>
                <c:pt idx="2">
                  <c:v>3.427734375</c:v>
                </c:pt>
                <c:pt idx="3">
                  <c:v>3.3986663818359375</c:v>
                </c:pt>
                <c:pt idx="4">
                  <c:v>3.044237494468689</c:v>
                </c:pt>
                <c:pt idx="5">
                  <c:v>3.0259199207648635</c:v>
                </c:pt>
                <c:pt idx="6">
                  <c:v>3.0021489591672434</c:v>
                </c:pt>
                <c:pt idx="7">
                  <c:v>3.0012637832223277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53-4A20-8B88-6E853CEB2898}"/>
            </c:ext>
          </c:extLst>
        </c:ser>
        <c:ser>
          <c:idx val="1"/>
          <c:order val="1"/>
          <c:tx>
            <c:strRef>
              <c:f>Sheet1!$D$45:$D$46</c:f>
              <c:strCache>
                <c:ptCount val="2"/>
                <c:pt idx="0">
                  <c:v>Solusi</c:v>
                </c:pt>
                <c:pt idx="1">
                  <c:v>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Sheet1!$B$47:$B$54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Sheet1!$D$47:$D$54</c:f>
              <c:numCache>
                <c:formatCode>General</c:formatCode>
                <c:ptCount val="8"/>
                <c:pt idx="0">
                  <c:v>0</c:v>
                </c:pt>
                <c:pt idx="1">
                  <c:v>2.34375</c:v>
                </c:pt>
                <c:pt idx="2">
                  <c:v>3.460693359375</c:v>
                </c:pt>
                <c:pt idx="3">
                  <c:v>3.8465023040771484</c:v>
                </c:pt>
                <c:pt idx="4">
                  <c:v>3.9605554193258286</c:v>
                </c:pt>
                <c:pt idx="5">
                  <c:v>3.9907957980176434</c:v>
                </c:pt>
                <c:pt idx="6">
                  <c:v>3.9980789087849189</c:v>
                </c:pt>
                <c:pt idx="7">
                  <c:v>3.9996597425917102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53-4A20-8B88-6E853CEB2898}"/>
            </c:ext>
          </c:extLst>
        </c:ser>
        <c:ser>
          <c:idx val="2"/>
          <c:order val="2"/>
          <c:tx>
            <c:strRef>
              <c:f>Sheet1!$E$45:$E$46</c:f>
              <c:strCache>
                <c:ptCount val="2"/>
                <c:pt idx="0">
                  <c:v>Solusi</c:v>
                </c:pt>
                <c:pt idx="1">
                  <c:v>x3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Sheet1!$B$47:$B$54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Sheet1!$E$47:$E$54</c:f>
              <c:numCache>
                <c:formatCode>General</c:formatCode>
                <c:ptCount val="8"/>
                <c:pt idx="0">
                  <c:v>0</c:v>
                </c:pt>
                <c:pt idx="1">
                  <c:v>-6.767578125</c:v>
                </c:pt>
                <c:pt idx="2">
                  <c:v>-4.7266387939453125</c:v>
                </c:pt>
                <c:pt idx="3">
                  <c:v>-5.116308331489563</c:v>
                </c:pt>
                <c:pt idx="4">
                  <c:v>-4.9832493485882878</c:v>
                </c:pt>
                <c:pt idx="5">
                  <c:v>-5.0070639759724145</c:v>
                </c:pt>
                <c:pt idx="6">
                  <c:v>-4.9988343470116092</c:v>
                </c:pt>
                <c:pt idx="7">
                  <c:v>-5.0003977436871878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53-4A20-8B88-6E853CEB2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779279"/>
        <c:axId val="912681199"/>
      </c:scatterChart>
      <c:valAx>
        <c:axId val="91277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681199"/>
        <c:crosses val="autoZero"/>
        <c:crossBetween val="midCat"/>
      </c:valAx>
      <c:valAx>
        <c:axId val="91268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779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8</xdr:row>
      <xdr:rowOff>19050</xdr:rowOff>
    </xdr:from>
    <xdr:to>
      <xdr:col>18</xdr:col>
      <xdr:colOff>133350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CB0C37-9CCC-0497-7C16-69DC6A4C8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23</xdr:row>
      <xdr:rowOff>185737</xdr:rowOff>
    </xdr:from>
    <xdr:to>
      <xdr:col>18</xdr:col>
      <xdr:colOff>314325</xdr:colOff>
      <xdr:row>38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1857DB-D79E-7550-BFA5-77AB4D265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604837</xdr:colOff>
      <xdr:row>42</xdr:row>
      <xdr:rowOff>176212</xdr:rowOff>
    </xdr:from>
    <xdr:to>
      <xdr:col>18</xdr:col>
      <xdr:colOff>300037</xdr:colOff>
      <xdr:row>57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3FBDA1-053A-358E-0880-A45E4DC91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6ACF-F331-4DC2-B9AC-580C753BEF78}">
  <dimension ref="A1:M56"/>
  <sheetViews>
    <sheetView tabSelected="1" topLeftCell="A31" workbookViewId="0">
      <selection activeCell="P7" sqref="P7"/>
    </sheetView>
  </sheetViews>
  <sheetFormatPr defaultRowHeight="15" x14ac:dyDescent="0.25"/>
  <cols>
    <col min="3" max="4" width="9.5703125" bestFit="1" customWidth="1"/>
  </cols>
  <sheetData>
    <row r="1" spans="1:13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3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3" ht="15" customHeight="1" x14ac:dyDescent="0.25">
      <c r="B3" s="29" t="s">
        <v>4</v>
      </c>
      <c r="C3" s="29"/>
      <c r="D3" s="29"/>
      <c r="E3" s="11" t="s">
        <v>3</v>
      </c>
      <c r="F3" s="29" t="s">
        <v>10</v>
      </c>
      <c r="G3" s="29"/>
      <c r="H3" s="29"/>
    </row>
    <row r="4" spans="1:13" x14ac:dyDescent="0.25">
      <c r="B4" s="29"/>
      <c r="C4" s="29"/>
      <c r="D4" s="29"/>
      <c r="E4" s="11"/>
      <c r="F4" s="29"/>
      <c r="G4" s="29"/>
      <c r="H4" s="29"/>
    </row>
    <row r="5" spans="1:13" x14ac:dyDescent="0.25">
      <c r="B5" s="29"/>
      <c r="C5" s="29"/>
      <c r="D5" s="29"/>
      <c r="E5" s="11"/>
      <c r="F5" s="29"/>
      <c r="G5" s="29"/>
      <c r="H5" s="29"/>
    </row>
    <row r="6" spans="1:13" x14ac:dyDescent="0.25">
      <c r="B6" s="29"/>
      <c r="C6" s="29"/>
      <c r="D6" s="29"/>
      <c r="E6" s="11"/>
      <c r="F6" s="29"/>
      <c r="G6" s="29"/>
      <c r="H6" s="29"/>
    </row>
    <row r="7" spans="1:13" x14ac:dyDescent="0.25">
      <c r="B7" s="29"/>
      <c r="C7" s="29"/>
      <c r="D7" s="29"/>
      <c r="E7" s="11"/>
      <c r="F7" s="29"/>
      <c r="G7" s="29"/>
      <c r="H7" s="29"/>
    </row>
    <row r="8" spans="1:13" x14ac:dyDescent="0.25">
      <c r="B8" s="27"/>
      <c r="C8" s="27"/>
      <c r="D8" s="27"/>
      <c r="E8" s="28"/>
      <c r="F8" s="17"/>
      <c r="G8" s="17"/>
      <c r="H8" s="17"/>
    </row>
    <row r="9" spans="1:13" x14ac:dyDescent="0.25">
      <c r="B9" s="8" t="s">
        <v>1</v>
      </c>
      <c r="C9" s="8"/>
      <c r="D9" s="8"/>
      <c r="E9" s="8"/>
      <c r="F9" s="8"/>
      <c r="G9" s="8"/>
      <c r="H9" s="8"/>
      <c r="I9" s="8"/>
      <c r="J9" s="8"/>
    </row>
    <row r="10" spans="1:13" x14ac:dyDescent="0.25">
      <c r="B10" s="11" t="s">
        <v>2</v>
      </c>
      <c r="C10" s="8" t="s">
        <v>5</v>
      </c>
      <c r="D10" s="8"/>
      <c r="E10" s="8"/>
      <c r="F10" s="8"/>
      <c r="G10" s="8" t="s">
        <v>11</v>
      </c>
      <c r="H10" s="8"/>
      <c r="I10" s="8"/>
      <c r="J10" s="8"/>
    </row>
    <row r="11" spans="1:13" x14ac:dyDescent="0.25">
      <c r="B11" s="11"/>
      <c r="C11" s="12" t="s">
        <v>6</v>
      </c>
      <c r="D11" s="12" t="s">
        <v>7</v>
      </c>
      <c r="E11" s="12" t="s">
        <v>8</v>
      </c>
      <c r="F11" s="12" t="s">
        <v>9</v>
      </c>
      <c r="G11" s="12" t="s">
        <v>6</v>
      </c>
      <c r="H11" s="12" t="s">
        <v>7</v>
      </c>
      <c r="I11" s="12" t="s">
        <v>8</v>
      </c>
      <c r="J11" s="12" t="s">
        <v>12</v>
      </c>
    </row>
    <row r="12" spans="1:13" x14ac:dyDescent="0.25"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9"/>
      <c r="H12" s="9"/>
      <c r="I12" s="10"/>
      <c r="J12" s="10"/>
      <c r="K12" s="5"/>
      <c r="L12" s="5"/>
      <c r="M12" s="5"/>
    </row>
    <row r="13" spans="1:13" x14ac:dyDescent="0.25">
      <c r="B13" s="12">
        <v>1</v>
      </c>
      <c r="C13" s="12">
        <f>(6 + D12 - 2*E12)/10</f>
        <v>0.6</v>
      </c>
      <c r="D13" s="12">
        <f>(25 + C12+E12 - 3*F12)/11</f>
        <v>2.2727272727272729</v>
      </c>
      <c r="E13" s="13">
        <f>(-11 - 2*C12+D12+F12)/10</f>
        <v>-1.1000000000000001</v>
      </c>
      <c r="F13" s="12">
        <f>(15- 3*D12 +E12)/8</f>
        <v>1.875</v>
      </c>
      <c r="G13" s="14">
        <f>ABS((C13-C12)/C13)</f>
        <v>1</v>
      </c>
      <c r="H13" s="14">
        <f>ABS((D13-D12)/D13)</f>
        <v>1</v>
      </c>
      <c r="I13" s="14">
        <f t="shared" ref="I13:J13" si="0">ABS((E13-E12)/E13)</f>
        <v>1</v>
      </c>
      <c r="J13" s="14">
        <f t="shared" si="0"/>
        <v>1</v>
      </c>
      <c r="K13" s="5"/>
      <c r="L13" s="5"/>
      <c r="M13" s="5"/>
    </row>
    <row r="14" spans="1:13" x14ac:dyDescent="0.25">
      <c r="B14" s="12">
        <v>2</v>
      </c>
      <c r="C14" s="18">
        <f t="shared" ref="C14:C22" si="1">(6 + D13 - 2*E13)/10</f>
        <v>1.0472727272727274</v>
      </c>
      <c r="D14" s="12">
        <f t="shared" ref="D14:D22" si="2">(25 + C13+E13 - 3*F13)/11</f>
        <v>1.7159090909090908</v>
      </c>
      <c r="E14" s="18">
        <f>(-11 - 2*C13+D13+F13)/10</f>
        <v>-0.80522727272727257</v>
      </c>
      <c r="F14" s="18">
        <f t="shared" ref="F14:F22" si="3">(15- 3*D13 +E13)/8</f>
        <v>0.88522727272727275</v>
      </c>
      <c r="G14" s="14">
        <f t="shared" ref="G14:G22" si="4">ABS((C14-C13)/C14)</f>
        <v>0.42708333333333343</v>
      </c>
      <c r="H14" s="14">
        <f t="shared" ref="H14:H22" si="5">ABS((D14-D13)/D14)</f>
        <v>0.3245033112582783</v>
      </c>
      <c r="I14" s="14">
        <f t="shared" ref="I14:I22" si="6">ABS((E14-E13)/E14)</f>
        <v>0.36607394863110398</v>
      </c>
      <c r="J14" s="14">
        <f t="shared" ref="J14:J22" si="7">ABS((F14-F13)/F14)</f>
        <v>1.1181001283697047</v>
      </c>
      <c r="K14" s="1"/>
      <c r="L14" s="1"/>
      <c r="M14" s="1"/>
    </row>
    <row r="15" spans="1:13" x14ac:dyDescent="0.25">
      <c r="B15" s="12">
        <v>3</v>
      </c>
      <c r="C15" s="18">
        <f t="shared" si="1"/>
        <v>0.9326363636363636</v>
      </c>
      <c r="D15" s="12">
        <f t="shared" si="2"/>
        <v>2.0533057851239671</v>
      </c>
      <c r="E15" s="18">
        <f t="shared" ref="E15:E22" si="8">(-11 - 2*C14+D14+F14)/10</f>
        <v>-1.0493409090909092</v>
      </c>
      <c r="F15" s="18">
        <f t="shared" si="3"/>
        <v>1.1308806818181818</v>
      </c>
      <c r="G15" s="14">
        <f t="shared" si="4"/>
        <v>0.12291646359294292</v>
      </c>
      <c r="H15" s="14">
        <f t="shared" si="5"/>
        <v>0.16431877641376547</v>
      </c>
      <c r="I15" s="14">
        <f t="shared" si="6"/>
        <v>0.23263520391587814</v>
      </c>
      <c r="J15" s="14">
        <f t="shared" si="7"/>
        <v>0.2172231014645665</v>
      </c>
      <c r="K15" s="1"/>
      <c r="L15" s="1"/>
      <c r="M15" s="1"/>
    </row>
    <row r="16" spans="1:13" x14ac:dyDescent="0.25">
      <c r="B16" s="12">
        <v>4</v>
      </c>
      <c r="C16" s="18">
        <f t="shared" si="1"/>
        <v>1.0151987603305785</v>
      </c>
      <c r="D16" s="12">
        <f t="shared" si="2"/>
        <v>1.9536957644628101</v>
      </c>
      <c r="E16" s="18">
        <f t="shared" si="8"/>
        <v>-0.9681086260330577</v>
      </c>
      <c r="F16" s="18">
        <f t="shared" si="3"/>
        <v>0.97384271694214875</v>
      </c>
      <c r="G16" s="14">
        <f t="shared" si="4"/>
        <v>8.1326337186749725E-2</v>
      </c>
      <c r="H16" s="14">
        <f t="shared" si="5"/>
        <v>5.0985431034368776E-2</v>
      </c>
      <c r="I16" s="14">
        <f t="shared" si="6"/>
        <v>8.3908231858970797E-2</v>
      </c>
      <c r="J16" s="14">
        <f t="shared" si="7"/>
        <v>0.16125598327533822</v>
      </c>
      <c r="K16" s="1"/>
      <c r="L16" s="7"/>
      <c r="M16" s="1"/>
    </row>
    <row r="17" spans="2:10" x14ac:dyDescent="0.25">
      <c r="B17" s="12">
        <v>5</v>
      </c>
      <c r="C17" s="18">
        <f t="shared" si="1"/>
        <v>0.98899130165289262</v>
      </c>
      <c r="D17" s="12">
        <f t="shared" si="2"/>
        <v>2.0114147257700976</v>
      </c>
      <c r="E17" s="18">
        <f t="shared" si="8"/>
        <v>-1.0102859039256198</v>
      </c>
      <c r="F17" s="18">
        <f t="shared" si="3"/>
        <v>1.0213505100723141</v>
      </c>
      <c r="G17" s="14">
        <f t="shared" si="4"/>
        <v>2.6499180158496467E-2</v>
      </c>
      <c r="H17" s="14">
        <f t="shared" si="5"/>
        <v>2.8695703858481494E-2</v>
      </c>
      <c r="I17" s="14">
        <f t="shared" si="6"/>
        <v>4.1747863380728022E-2</v>
      </c>
      <c r="J17" s="14">
        <f t="shared" si="7"/>
        <v>4.651468096569681E-2</v>
      </c>
    </row>
    <row r="18" spans="2:10" x14ac:dyDescent="0.25">
      <c r="B18" s="12">
        <v>6</v>
      </c>
      <c r="C18" s="18">
        <f t="shared" si="1"/>
        <v>1.003198653362134</v>
      </c>
      <c r="D18" s="12">
        <f t="shared" si="2"/>
        <v>1.9922412606827571</v>
      </c>
      <c r="E18" s="18">
        <f t="shared" si="8"/>
        <v>-0.99452173674633748</v>
      </c>
      <c r="F18" s="18">
        <f t="shared" si="3"/>
        <v>0.99443373984551098</v>
      </c>
      <c r="G18" s="14">
        <f t="shared" si="4"/>
        <v>1.4162052213314531E-2</v>
      </c>
      <c r="H18" s="14">
        <f t="shared" si="5"/>
        <v>9.6240678605208803E-3</v>
      </c>
      <c r="I18" s="14">
        <f t="shared" si="6"/>
        <v>1.585100314735817E-2</v>
      </c>
      <c r="J18" s="14">
        <f t="shared" si="7"/>
        <v>2.7067434609554568E-2</v>
      </c>
    </row>
    <row r="19" spans="2:10" x14ac:dyDescent="0.25">
      <c r="B19" s="12">
        <v>7</v>
      </c>
      <c r="C19" s="18">
        <f t="shared" si="1"/>
        <v>0.99812847341754318</v>
      </c>
      <c r="D19" s="12">
        <f t="shared" si="2"/>
        <v>2.0023068815526606</v>
      </c>
      <c r="E19" s="18">
        <f t="shared" si="8"/>
        <v>-1.0019722306195997</v>
      </c>
      <c r="F19" s="18">
        <f t="shared" si="3"/>
        <v>1.0035943101506739</v>
      </c>
      <c r="G19" s="14">
        <f t="shared" si="4"/>
        <v>5.0796867133053062E-3</v>
      </c>
      <c r="H19" s="14">
        <f t="shared" si="5"/>
        <v>5.0270120742422044E-3</v>
      </c>
      <c r="I19" s="14">
        <f t="shared" si="6"/>
        <v>7.4358287042097021E-3</v>
      </c>
      <c r="J19" s="14">
        <f t="shared" si="7"/>
        <v>9.1277622964877243E-3</v>
      </c>
    </row>
    <row r="20" spans="2:10" x14ac:dyDescent="0.25">
      <c r="B20" s="12">
        <v>8</v>
      </c>
      <c r="C20" s="18">
        <f t="shared" si="1"/>
        <v>1.0006251342791859</v>
      </c>
      <c r="D20" s="12">
        <f t="shared" si="2"/>
        <v>1.9986703011223563</v>
      </c>
      <c r="E20" s="18">
        <f t="shared" si="8"/>
        <v>-0.99903557551317501</v>
      </c>
      <c r="F20" s="18">
        <f t="shared" si="3"/>
        <v>0.99888839059030232</v>
      </c>
      <c r="G20" s="14">
        <f t="shared" si="4"/>
        <v>2.4951010884222786E-3</v>
      </c>
      <c r="H20" s="14">
        <f t="shared" si="5"/>
        <v>1.8194999086453177E-3</v>
      </c>
      <c r="I20" s="14">
        <f t="shared" si="6"/>
        <v>2.9394900225812679E-3</v>
      </c>
      <c r="J20" s="14">
        <f t="shared" si="7"/>
        <v>4.7111565262967755E-3</v>
      </c>
    </row>
    <row r="21" spans="2:10" x14ac:dyDescent="0.25">
      <c r="B21" s="21">
        <v>9</v>
      </c>
      <c r="C21" s="22">
        <f t="shared" si="1"/>
        <v>0.99967414521487064</v>
      </c>
      <c r="D21" s="21">
        <f t="shared" si="2"/>
        <v>2.0004476715450092</v>
      </c>
      <c r="E21" s="22">
        <f t="shared" si="8"/>
        <v>-1.0003691576845715</v>
      </c>
      <c r="F21" s="22">
        <f t="shared" si="3"/>
        <v>1.0006191901399695</v>
      </c>
      <c r="G21" s="23">
        <f t="shared" si="4"/>
        <v>9.5129904966265459E-4</v>
      </c>
      <c r="H21" s="23">
        <f t="shared" si="5"/>
        <v>8.8848633630101077E-4</v>
      </c>
      <c r="I21" s="23">
        <f t="shared" si="6"/>
        <v>1.3330900509599148E-3</v>
      </c>
      <c r="J21" s="23">
        <f t="shared" si="7"/>
        <v>1.7297285188234708E-3</v>
      </c>
    </row>
    <row r="22" spans="2:10" x14ac:dyDescent="0.25">
      <c r="B22" s="21">
        <v>10</v>
      </c>
      <c r="C22" s="22">
        <f t="shared" si="1"/>
        <v>1.0001185986914152</v>
      </c>
      <c r="D22" s="21">
        <f t="shared" si="2"/>
        <v>1.9997679470100358</v>
      </c>
      <c r="E22" s="22">
        <f t="shared" si="8"/>
        <v>-0.9998281428744763</v>
      </c>
      <c r="F22" s="22">
        <f t="shared" si="3"/>
        <v>0.99978597846005013</v>
      </c>
      <c r="G22" s="23">
        <f t="shared" si="4"/>
        <v>4.4440077119460981E-4</v>
      </c>
      <c r="H22" s="23">
        <f t="shared" si="5"/>
        <v>3.399017050902036E-4</v>
      </c>
      <c r="I22" s="23">
        <f t="shared" si="6"/>
        <v>5.4110780332684209E-4</v>
      </c>
      <c r="J22" s="23">
        <f t="shared" si="7"/>
        <v>8.3339004333979794E-4</v>
      </c>
    </row>
    <row r="25" spans="2:10" x14ac:dyDescent="0.25">
      <c r="B25" s="8" t="s">
        <v>13</v>
      </c>
      <c r="C25" s="8"/>
      <c r="D25" s="8"/>
      <c r="E25" s="8"/>
      <c r="F25" s="8"/>
      <c r="G25" s="8"/>
      <c r="H25" s="8"/>
      <c r="I25" s="8"/>
      <c r="J25" s="8"/>
    </row>
    <row r="26" spans="2:10" x14ac:dyDescent="0.25">
      <c r="B26" s="11" t="s">
        <v>2</v>
      </c>
      <c r="C26" s="8" t="s">
        <v>5</v>
      </c>
      <c r="D26" s="8"/>
      <c r="E26" s="8"/>
      <c r="F26" s="8"/>
      <c r="G26" s="8" t="s">
        <v>11</v>
      </c>
      <c r="H26" s="8"/>
      <c r="I26" s="8"/>
      <c r="J26" s="8"/>
    </row>
    <row r="27" spans="2:10" x14ac:dyDescent="0.25">
      <c r="B27" s="11"/>
      <c r="C27" s="12" t="s">
        <v>6</v>
      </c>
      <c r="D27" s="12" t="s">
        <v>7</v>
      </c>
      <c r="E27" s="12" t="s">
        <v>8</v>
      </c>
      <c r="F27" s="12" t="s">
        <v>9</v>
      </c>
      <c r="G27" s="12" t="s">
        <v>6</v>
      </c>
      <c r="H27" s="12" t="s">
        <v>7</v>
      </c>
      <c r="I27" s="12" t="s">
        <v>8</v>
      </c>
      <c r="J27" s="12" t="s">
        <v>12</v>
      </c>
    </row>
    <row r="28" spans="2:10" x14ac:dyDescent="0.25"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9"/>
      <c r="H28" s="9"/>
      <c r="I28" s="9"/>
      <c r="J28" s="9"/>
    </row>
    <row r="29" spans="2:10" x14ac:dyDescent="0.25">
      <c r="B29" s="19">
        <v>1</v>
      </c>
      <c r="C29" s="19">
        <f xml:space="preserve"> (6+D28-2*E28)/10</f>
        <v>0.6</v>
      </c>
      <c r="D29" s="20">
        <f>(25 + C29 + E28 - 3*F28)/11</f>
        <v>2.3272727272727276</v>
      </c>
      <c r="E29" s="19">
        <f>(-11-2*C29+D29+F28)/10</f>
        <v>-0.98727272727272708</v>
      </c>
      <c r="F29" s="19">
        <f>(15-3*D29+E29)/8</f>
        <v>0.87886363636363629</v>
      </c>
      <c r="G29" s="14">
        <f>ABS((C29-C28)/C29)</f>
        <v>1</v>
      </c>
      <c r="H29" s="14">
        <f t="shared" ref="H29:J29" si="9">ABS((D29-D28)/D29)</f>
        <v>1</v>
      </c>
      <c r="I29" s="14">
        <f t="shared" si="9"/>
        <v>1</v>
      </c>
      <c r="J29" s="14">
        <f t="shared" si="9"/>
        <v>1</v>
      </c>
    </row>
    <row r="30" spans="2:10" x14ac:dyDescent="0.25">
      <c r="B30" s="19">
        <v>2</v>
      </c>
      <c r="C30" s="19">
        <f t="shared" ref="C30:C31" si="10" xml:space="preserve"> (6+D29-2*E29)/10</f>
        <v>1.0301818181818183</v>
      </c>
      <c r="D30" s="20">
        <f t="shared" ref="D30:D31" si="11">(25 + C30 + E29 - 3*F29)/11</f>
        <v>2.0369380165289255</v>
      </c>
      <c r="E30" s="19">
        <f t="shared" ref="E30:E31" si="12">(-11-2*C30+D30+F29)/10</f>
        <v>-1.0144561983471074</v>
      </c>
      <c r="F30" s="19">
        <f t="shared" ref="F30:F31" si="13">(15-3*D30+E30)/8</f>
        <v>0.98434121900826443</v>
      </c>
      <c r="G30" s="14">
        <f t="shared" ref="G30:G31" si="14">ABS((C30-C29)/C30)</f>
        <v>0.41757853865160616</v>
      </c>
      <c r="H30" s="14">
        <f t="shared" ref="H30:H33" si="15">ABS((D30-D29)/D30)</f>
        <v>0.14253487754062899</v>
      </c>
      <c r="I30" s="14">
        <f t="shared" ref="I30:I33" si="16">ABS((E30-E29)/E30)</f>
        <v>2.6796101318786781E-2</v>
      </c>
      <c r="J30" s="14">
        <f t="shared" ref="J30:J33" si="17">ABS((F30-F29)/F30)</f>
        <v>0.1071555072649483</v>
      </c>
    </row>
    <row r="31" spans="2:10" x14ac:dyDescent="0.25">
      <c r="B31" s="19">
        <v>3</v>
      </c>
      <c r="C31" s="19">
        <f t="shared" si="10"/>
        <v>1.0065850413223141</v>
      </c>
      <c r="D31" s="20">
        <f t="shared" si="11"/>
        <v>2.003555016904583</v>
      </c>
      <c r="E31" s="19">
        <f t="shared" si="12"/>
        <v>-1.0025273846731779</v>
      </c>
      <c r="F31" s="19">
        <f t="shared" si="13"/>
        <v>0.99835094557663417</v>
      </c>
      <c r="G31" s="14">
        <f t="shared" si="14"/>
        <v>2.3442407636523194E-2</v>
      </c>
      <c r="H31" s="14">
        <f t="shared" si="15"/>
        <v>1.6661883173998342E-2</v>
      </c>
      <c r="I31" s="14">
        <f t="shared" si="16"/>
        <v>1.1898740978350707E-2</v>
      </c>
      <c r="J31" s="14">
        <f t="shared" si="17"/>
        <v>1.4032867530643655E-2</v>
      </c>
    </row>
    <row r="32" spans="2:10" x14ac:dyDescent="0.25">
      <c r="B32" s="19">
        <v>4</v>
      </c>
      <c r="C32" s="19">
        <f xml:space="preserve"> (6+D31-2*E31)/10</f>
        <v>1.0008609786250939</v>
      </c>
      <c r="D32" s="20">
        <f>(25 + C32 + E31 - 3*F31)/11</f>
        <v>2.000298250656547</v>
      </c>
      <c r="E32" s="19">
        <f>(-11-2*C32+D32+F31)/10</f>
        <v>-1.0003072761017007</v>
      </c>
      <c r="F32" s="19">
        <f>(15-3*D32+E32)/8</f>
        <v>0.99984974649108227</v>
      </c>
      <c r="G32" s="14">
        <f>ABS((C32-C31)/C32)</f>
        <v>5.7191386410962121E-3</v>
      </c>
      <c r="H32" s="14">
        <f t="shared" si="15"/>
        <v>1.6281403270572814E-3</v>
      </c>
      <c r="I32" s="14">
        <f t="shared" si="16"/>
        <v>2.2194265947252149E-3</v>
      </c>
      <c r="J32" s="14">
        <f t="shared" si="17"/>
        <v>1.4990261483868498E-3</v>
      </c>
    </row>
    <row r="33" spans="2:10" x14ac:dyDescent="0.25">
      <c r="B33" s="24">
        <v>5</v>
      </c>
      <c r="C33" s="24">
        <f xml:space="preserve"> (6+D32-2*E32)/10</f>
        <v>1.0000912802859949</v>
      </c>
      <c r="D33" s="25">
        <f>(25 + C33 + E32 - 3*F32)/11</f>
        <v>2.000021342246459</v>
      </c>
      <c r="E33" s="24">
        <f>(-11-2*C33+D33+F32)/10</f>
        <v>-1.0000311471834449</v>
      </c>
      <c r="F33" s="24">
        <f>(15-3*D33+E33)/8</f>
        <v>0.99998810325964727</v>
      </c>
      <c r="G33" s="23">
        <f>ABS((C33-C32)/C33)</f>
        <v>7.6962808722710017E-4</v>
      </c>
      <c r="H33" s="23">
        <f t="shared" si="15"/>
        <v>1.3845272759787421E-4</v>
      </c>
      <c r="I33" s="23">
        <f t="shared" si="16"/>
        <v>2.7612031788559727E-4</v>
      </c>
      <c r="J33" s="23">
        <f t="shared" si="17"/>
        <v>1.3835841457912943E-4</v>
      </c>
    </row>
    <row r="34" spans="2:10" x14ac:dyDescent="0.25">
      <c r="B34" s="4"/>
      <c r="C34" s="4"/>
      <c r="D34" s="4"/>
      <c r="E34" s="4"/>
      <c r="F34" s="4"/>
    </row>
    <row r="35" spans="2:10" x14ac:dyDescent="0.25">
      <c r="B35" s="4"/>
      <c r="C35" s="4"/>
      <c r="D35" s="4"/>
      <c r="E35" s="4"/>
      <c r="F35" s="4"/>
    </row>
    <row r="36" spans="2:10" x14ac:dyDescent="0.25">
      <c r="B36" s="4"/>
      <c r="C36" s="4"/>
      <c r="D36" s="4"/>
      <c r="E36" s="4"/>
      <c r="F36" s="4"/>
    </row>
    <row r="38" spans="2:10" x14ac:dyDescent="0.25">
      <c r="B38" s="6" t="s">
        <v>15</v>
      </c>
      <c r="C38" s="2"/>
      <c r="D38" s="2"/>
      <c r="F38" s="32"/>
      <c r="G38" s="32"/>
      <c r="H38" s="32"/>
    </row>
    <row r="39" spans="2:10" x14ac:dyDescent="0.25">
      <c r="B39" s="2"/>
      <c r="C39" s="2"/>
      <c r="D39" s="2"/>
      <c r="F39" s="33" t="s">
        <v>16</v>
      </c>
      <c r="G39" s="33">
        <v>1.25</v>
      </c>
      <c r="H39" s="32"/>
    </row>
    <row r="40" spans="2:10" x14ac:dyDescent="0.25">
      <c r="B40" s="2"/>
      <c r="C40" s="2"/>
      <c r="D40" s="2"/>
      <c r="F40" s="32"/>
      <c r="G40" s="32"/>
      <c r="H40" s="32"/>
    </row>
    <row r="41" spans="2:10" x14ac:dyDescent="0.25">
      <c r="B41" s="2"/>
      <c r="C41" s="2"/>
      <c r="D41" s="2"/>
      <c r="E41" s="16"/>
      <c r="F41" s="32"/>
      <c r="G41" s="32"/>
      <c r="H41" s="32"/>
      <c r="I41" s="31"/>
      <c r="J41" s="16"/>
    </row>
    <row r="42" spans="2:10" x14ac:dyDescent="0.25">
      <c r="B42" s="30"/>
      <c r="C42" s="16"/>
      <c r="D42" s="16"/>
      <c r="E42" s="16"/>
      <c r="F42" s="16"/>
      <c r="G42" s="16"/>
      <c r="H42" s="16"/>
      <c r="I42" s="16"/>
      <c r="J42" s="16"/>
    </row>
    <row r="43" spans="2:10" x14ac:dyDescent="0.25">
      <c r="B43" s="30"/>
      <c r="C43" s="26"/>
      <c r="D43" s="26"/>
      <c r="E43" s="26"/>
      <c r="F43" s="26"/>
      <c r="G43" s="26"/>
      <c r="H43" s="26"/>
      <c r="I43" s="26"/>
      <c r="J43" s="26"/>
    </row>
    <row r="44" spans="2:10" x14ac:dyDescent="0.25">
      <c r="B44" s="8" t="s">
        <v>14</v>
      </c>
      <c r="C44" s="8"/>
      <c r="D44" s="8"/>
      <c r="E44" s="8"/>
      <c r="F44" s="8"/>
      <c r="G44" s="8"/>
      <c r="H44" s="8"/>
      <c r="I44" s="16"/>
      <c r="J44" s="16"/>
    </row>
    <row r="45" spans="2:10" x14ac:dyDescent="0.25">
      <c r="B45" s="11" t="s">
        <v>2</v>
      </c>
      <c r="C45" s="15" t="s">
        <v>5</v>
      </c>
      <c r="D45" s="34"/>
      <c r="E45" s="35"/>
      <c r="F45" s="15" t="s">
        <v>11</v>
      </c>
      <c r="G45" s="34"/>
      <c r="H45" s="35"/>
    </row>
    <row r="46" spans="2:10" x14ac:dyDescent="0.25">
      <c r="B46" s="11"/>
      <c r="C46" s="12" t="s">
        <v>6</v>
      </c>
      <c r="D46" s="12" t="s">
        <v>7</v>
      </c>
      <c r="E46" s="12" t="s">
        <v>8</v>
      </c>
      <c r="F46" s="12" t="s">
        <v>6</v>
      </c>
      <c r="G46" s="12" t="s">
        <v>7</v>
      </c>
      <c r="H46" s="12" t="s">
        <v>8</v>
      </c>
    </row>
    <row r="47" spans="2:10" x14ac:dyDescent="0.25">
      <c r="B47" s="19">
        <v>0</v>
      </c>
      <c r="C47" s="19">
        <v>0</v>
      </c>
      <c r="D47" s="19">
        <v>0</v>
      </c>
      <c r="E47" s="19">
        <v>0</v>
      </c>
      <c r="F47" s="19"/>
      <c r="G47" s="19"/>
      <c r="H47" s="19"/>
    </row>
    <row r="48" spans="2:10" x14ac:dyDescent="0.25">
      <c r="B48" s="19">
        <v>1</v>
      </c>
      <c r="C48" s="19">
        <f>((1-$G$39)*C47+$G$39/4*(24-3*D47))</f>
        <v>7.5</v>
      </c>
      <c r="D48" s="19">
        <f>((1-$G$39)*D47+$G$39/4*(30-3*C48+E47))</f>
        <v>2.34375</v>
      </c>
      <c r="E48" s="19">
        <f>((1-$G$39)*E47+$G$39/4*(-24+D48))</f>
        <v>-6.767578125</v>
      </c>
      <c r="F48" s="36">
        <f>ABS((C48-C47)/C48)</f>
        <v>1</v>
      </c>
      <c r="G48" s="36">
        <f>ABS((D48-D47)/D48)</f>
        <v>1</v>
      </c>
      <c r="H48" s="36">
        <f>ABS((E48-E47)/E48)</f>
        <v>1</v>
      </c>
    </row>
    <row r="49" spans="2:10" x14ac:dyDescent="0.25">
      <c r="B49" s="19">
        <v>2</v>
      </c>
      <c r="C49" s="19">
        <f t="shared" ref="C49:C54" si="18">((1-$G$39)*C48+$G$39/4*(24-3*D48))</f>
        <v>3.427734375</v>
      </c>
      <c r="D49" s="19">
        <f t="shared" ref="D49:D54" si="19">((1-$G$39)*D48+$G$39/4*(30-3*C49+E48))</f>
        <v>3.460693359375</v>
      </c>
      <c r="E49" s="19">
        <f t="shared" ref="E49:E54" si="20">((1-$G$39)*E48+$G$39/4*(-24+D49))</f>
        <v>-4.7266387939453125</v>
      </c>
      <c r="F49" s="36">
        <f t="shared" ref="F49:F54" si="21">ABS((C49-C48)/C49)</f>
        <v>1.188034188034188</v>
      </c>
      <c r="G49" s="36">
        <f>ABS((D49-D48)/D49)</f>
        <v>0.32275132275132273</v>
      </c>
      <c r="H49" s="36">
        <f>ABS((E49-E48)/E49)</f>
        <v>0.43179507045663651</v>
      </c>
    </row>
    <row r="50" spans="2:10" x14ac:dyDescent="0.25">
      <c r="B50" s="19">
        <v>3</v>
      </c>
      <c r="C50" s="19">
        <f t="shared" si="18"/>
        <v>3.3986663818359375</v>
      </c>
      <c r="D50" s="19">
        <f t="shared" si="19"/>
        <v>3.8465023040771484</v>
      </c>
      <c r="E50" s="19">
        <f t="shared" si="20"/>
        <v>-5.116308331489563</v>
      </c>
      <c r="F50" s="36">
        <f t="shared" si="21"/>
        <v>8.5527644959256521E-3</v>
      </c>
      <c r="G50" s="36">
        <f>ABS((D50-D49)/D50)</f>
        <v>0.10030123842463461</v>
      </c>
      <c r="H50" s="36">
        <f>ABS((E50-E49)/E50)</f>
        <v>7.6162246740669362E-2</v>
      </c>
    </row>
    <row r="51" spans="2:10" x14ac:dyDescent="0.25">
      <c r="B51" s="19">
        <v>4</v>
      </c>
      <c r="C51" s="19">
        <f t="shared" si="18"/>
        <v>3.044237494468689</v>
      </c>
      <c r="D51" s="19">
        <f t="shared" si="19"/>
        <v>3.9605554193258286</v>
      </c>
      <c r="E51" s="19">
        <f t="shared" si="20"/>
        <v>-4.9832493485882878</v>
      </c>
      <c r="F51" s="36">
        <f t="shared" si="21"/>
        <v>0.11642616189152057</v>
      </c>
      <c r="G51" s="36">
        <f>ABS((D51-D50)/D51)</f>
        <v>2.879725270151488E-2</v>
      </c>
      <c r="H51" s="36">
        <f>ABS((E51-E50)/E51)</f>
        <v>2.6701249243923472E-2</v>
      </c>
    </row>
    <row r="52" spans="2:10" x14ac:dyDescent="0.25">
      <c r="B52" s="19">
        <v>5</v>
      </c>
      <c r="C52" s="19">
        <f t="shared" si="18"/>
        <v>3.0259199207648635</v>
      </c>
      <c r="D52" s="19">
        <f t="shared" si="19"/>
        <v>3.9907957980176434</v>
      </c>
      <c r="E52" s="19">
        <f t="shared" si="20"/>
        <v>-5.0070639759724145</v>
      </c>
      <c r="F52" s="36">
        <f t="shared" si="21"/>
        <v>6.0535553429964303E-3</v>
      </c>
      <c r="G52" s="36">
        <f>ABS((D52-D51)/D52)</f>
        <v>7.5775309543114708E-3</v>
      </c>
      <c r="H52" s="36">
        <f>ABS((E52-E51)/E52)</f>
        <v>4.7562059319407133E-3</v>
      </c>
    </row>
    <row r="53" spans="2:10" x14ac:dyDescent="0.25">
      <c r="B53" s="19">
        <v>6</v>
      </c>
      <c r="C53" s="19">
        <f t="shared" si="18"/>
        <v>3.0021489591672434</v>
      </c>
      <c r="D53" s="19">
        <f t="shared" si="19"/>
        <v>3.9980789087849189</v>
      </c>
      <c r="E53" s="19">
        <f t="shared" si="20"/>
        <v>-4.9988343470116092</v>
      </c>
      <c r="F53" s="36">
        <f t="shared" si="21"/>
        <v>7.9179820591626458E-3</v>
      </c>
      <c r="G53" s="36">
        <f>ABS((D53-D52)/D53)</f>
        <v>1.8216525820119339E-3</v>
      </c>
      <c r="H53" s="36">
        <f>ABS((E53-E52)/E53)</f>
        <v>1.6463095973014337E-3</v>
      </c>
    </row>
    <row r="54" spans="2:10" x14ac:dyDescent="0.25">
      <c r="B54" s="24">
        <v>7</v>
      </c>
      <c r="C54" s="24">
        <f t="shared" si="18"/>
        <v>3.0012637832223277</v>
      </c>
      <c r="D54" s="24">
        <f t="shared" si="19"/>
        <v>3.9996597425917102</v>
      </c>
      <c r="E54" s="24">
        <f t="shared" si="20"/>
        <v>-5.0003977436871878</v>
      </c>
      <c r="F54" s="37">
        <f t="shared" si="21"/>
        <v>2.9493440392146979E-4</v>
      </c>
      <c r="G54" s="37">
        <f>ABS((D54-D53)/D54)</f>
        <v>3.9524207270865276E-4</v>
      </c>
      <c r="H54" s="37">
        <f>ABS((E54-E53)/E54)</f>
        <v>3.1265446384786424E-4</v>
      </c>
    </row>
    <row r="55" spans="2:10" x14ac:dyDescent="0.25">
      <c r="B55" s="24">
        <v>8</v>
      </c>
      <c r="C55" s="24">
        <f>((1-$G$39)*C54+$G$39/4*(24-3*D54))</f>
        <v>3.0000030455146898</v>
      </c>
      <c r="D55" s="24">
        <f>((1-$G$39)*D54+$G$39/4*(30-3*C55+E54))</f>
        <v>3.999957914279805</v>
      </c>
      <c r="E55" s="24">
        <f>((1-$G$39)*E54+$G$39/4*(-24+D55))</f>
        <v>-4.9999137158657643</v>
      </c>
      <c r="F55" s="37">
        <f>ABS((C55-C54)/C55)</f>
        <v>4.202454759247114E-4</v>
      </c>
      <c r="G55" s="37">
        <f>ABS((D55-D54)/D55)</f>
        <v>7.4543706330082118E-5</v>
      </c>
      <c r="H55" s="37">
        <f>ABS((E55-E54)/E55)</f>
        <v>9.6807234870397365E-5</v>
      </c>
      <c r="I55" s="4"/>
      <c r="J55" s="4"/>
    </row>
    <row r="56" spans="2:10" x14ac:dyDescent="0.25">
      <c r="B56" s="24">
        <v>9</v>
      </c>
      <c r="C56" s="24">
        <f t="shared" ref="C56" si="22">((1-$G$39)*C55+$G$39/4*(24-3*D55))</f>
        <v>3.0000386939840102</v>
      </c>
      <c r="D56" s="24">
        <f t="shared" ref="D56" si="23">((1-$G$39)*D55+$G$39/4*(30-3*C56+E55))</f>
        <v>4.0000012096119884</v>
      </c>
      <c r="E56" s="24">
        <f t="shared" ref="E56" si="24">((1-$G$39)*E55+$G$39/4*(-24+D56))</f>
        <v>-5.0000211930298128</v>
      </c>
      <c r="F56" s="37">
        <f t="shared" ref="F56" si="25">ABS((C56-C55)/C56)</f>
        <v>1.188266984421122E-5</v>
      </c>
      <c r="G56" s="37">
        <f>ABS((D56-D55)/D56)</f>
        <v>1.08238297726891E-5</v>
      </c>
      <c r="H56" s="37">
        <f>ABS((E56-E55)/E56)</f>
        <v>2.1495341699431503E-5</v>
      </c>
    </row>
  </sheetData>
  <mergeCells count="17">
    <mergeCell ref="B45:B46"/>
    <mergeCell ref="B44:H44"/>
    <mergeCell ref="C45:E45"/>
    <mergeCell ref="F45:H45"/>
    <mergeCell ref="B9:J9"/>
    <mergeCell ref="B25:J25"/>
    <mergeCell ref="A1:J2"/>
    <mergeCell ref="B38:D41"/>
    <mergeCell ref="F3:H7"/>
    <mergeCell ref="B26:B27"/>
    <mergeCell ref="C26:F26"/>
    <mergeCell ref="G26:J26"/>
    <mergeCell ref="B10:B11"/>
    <mergeCell ref="C10:F10"/>
    <mergeCell ref="G10:J10"/>
    <mergeCell ref="E3:E7"/>
    <mergeCell ref="B3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2026-10-02T06:41:00Z</dcterms:created>
  <dcterms:modified xsi:type="dcterms:W3CDTF">2026-10-02T08:04:25Z</dcterms:modified>
</cp:coreProperties>
</file>