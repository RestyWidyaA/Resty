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etNum\"/>
    </mc:Choice>
  </mc:AlternateContent>
  <xr:revisionPtr revIDLastSave="0" documentId="8_{CF323DA3-CCDF-4FBE-9BE1-9FD38FE8C244}" xr6:coauthVersionLast="47" xr6:coauthVersionMax="47" xr10:uidLastSave="{00000000-0000-0000-0000-000000000000}"/>
  <bookViews>
    <workbookView xWindow="-120" yWindow="-120" windowWidth="29040" windowHeight="15720" xr2:uid="{96114E81-9629-4155-82B9-2068077A17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3" i="1" l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D11" i="1"/>
  <c r="W9" i="1"/>
  <c r="W8" i="1"/>
  <c r="W7" i="1"/>
  <c r="L8" i="1"/>
  <c r="L7" i="1"/>
  <c r="K8" i="1"/>
  <c r="K7" i="1"/>
  <c r="D22" i="1"/>
  <c r="C23" i="1"/>
  <c r="D33" i="1"/>
  <c r="C34" i="1"/>
  <c r="C12" i="1"/>
  <c r="E7" i="1"/>
  <c r="M7" i="1" s="1"/>
  <c r="X8" i="1" l="1"/>
  <c r="X7" i="1"/>
  <c r="Y7" i="1"/>
  <c r="M8" i="1"/>
  <c r="C24" i="1"/>
  <c r="D23" i="1"/>
  <c r="D24" i="1"/>
  <c r="C25" i="1"/>
  <c r="C35" i="1"/>
  <c r="D34" i="1"/>
  <c r="C13" i="1"/>
  <c r="D12" i="1"/>
  <c r="L26" i="1" l="1"/>
  <c r="L32" i="1"/>
  <c r="L38" i="1"/>
  <c r="L46" i="1"/>
  <c r="L55" i="1"/>
  <c r="L21" i="1"/>
  <c r="L27" i="1"/>
  <c r="L35" i="1"/>
  <c r="L49" i="1"/>
  <c r="L58" i="1"/>
  <c r="L13" i="1"/>
  <c r="L34" i="1"/>
  <c r="L42" i="1"/>
  <c r="L51" i="1"/>
  <c r="L62" i="1"/>
  <c r="L20" i="1"/>
  <c r="L24" i="1"/>
  <c r="L36" i="1"/>
  <c r="L50" i="1"/>
  <c r="L30" i="1"/>
  <c r="L22" i="1"/>
  <c r="L29" i="1"/>
  <c r="L41" i="1"/>
  <c r="L52" i="1"/>
  <c r="L60" i="1"/>
  <c r="L15" i="1"/>
  <c r="L23" i="1"/>
  <c r="L31" i="1"/>
  <c r="L43" i="1"/>
  <c r="L56" i="1"/>
  <c r="L61" i="1"/>
  <c r="L17" i="1"/>
  <c r="L39" i="1"/>
  <c r="L47" i="1"/>
  <c r="L57" i="1"/>
  <c r="L19" i="1"/>
  <c r="L16" i="1"/>
  <c r="L28" i="1"/>
  <c r="L45" i="1"/>
  <c r="L25" i="1"/>
  <c r="L33" i="1"/>
  <c r="L37" i="1"/>
  <c r="L40" i="1"/>
  <c r="L44" i="1"/>
  <c r="L48" i="1"/>
  <c r="L54" i="1"/>
  <c r="L59" i="1"/>
  <c r="L14" i="1"/>
  <c r="L18" i="1"/>
  <c r="L53" i="1"/>
  <c r="L12" i="1"/>
  <c r="N7" i="1"/>
  <c r="C26" i="1"/>
  <c r="D25" i="1"/>
  <c r="C36" i="1"/>
  <c r="D35" i="1"/>
  <c r="D13" i="1"/>
  <c r="C14" i="1"/>
  <c r="C27" i="1" l="1"/>
  <c r="D26" i="1"/>
  <c r="D36" i="1"/>
  <c r="C37" i="1"/>
  <c r="D14" i="1"/>
  <c r="C15" i="1"/>
  <c r="D27" i="1" l="1"/>
  <c r="C28" i="1"/>
  <c r="C38" i="1"/>
  <c r="D37" i="1"/>
  <c r="D15" i="1"/>
  <c r="C16" i="1"/>
  <c r="C29" i="1" l="1"/>
  <c r="D28" i="1"/>
  <c r="D38" i="1"/>
  <c r="C39" i="1"/>
  <c r="D16" i="1"/>
  <c r="C17" i="1"/>
  <c r="D29" i="1" l="1"/>
  <c r="C30" i="1"/>
  <c r="C40" i="1"/>
  <c r="D39" i="1"/>
  <c r="D17" i="1"/>
  <c r="C18" i="1"/>
  <c r="D30" i="1" l="1"/>
  <c r="C31" i="1"/>
  <c r="D40" i="1"/>
  <c r="C41" i="1"/>
  <c r="C19" i="1"/>
  <c r="D18" i="1"/>
  <c r="D31" i="1" l="1"/>
  <c r="C32" i="1"/>
  <c r="D32" i="1" s="1"/>
  <c r="D41" i="1"/>
  <c r="C42" i="1"/>
  <c r="D19" i="1"/>
  <c r="C20" i="1"/>
  <c r="C43" i="1" l="1"/>
  <c r="D43" i="1" s="1"/>
  <c r="D42" i="1"/>
  <c r="D20" i="1"/>
  <c r="C21" i="1"/>
  <c r="D21" i="1" s="1"/>
</calcChain>
</file>

<file path=xl/sharedStrings.xml><?xml version="1.0" encoding="utf-8"?>
<sst xmlns="http://schemas.openxmlformats.org/spreadsheetml/2006/main" count="25" uniqueCount="12">
  <si>
    <t>Interpolasi</t>
  </si>
  <si>
    <t>Linier</t>
  </si>
  <si>
    <t>y</t>
  </si>
  <si>
    <t>x</t>
  </si>
  <si>
    <t>n</t>
  </si>
  <si>
    <t>x_i</t>
  </si>
  <si>
    <t>y_i</t>
  </si>
  <si>
    <t>Kuadrat</t>
  </si>
  <si>
    <t>l</t>
  </si>
  <si>
    <t>ll</t>
  </si>
  <si>
    <t>lll</t>
  </si>
  <si>
    <t>Newton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</si>
</sst>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4" borderId="1" xfId="3" applyBorder="1" applyAlignment="1">
      <alignment horizontal="center" vertical="center"/>
    </xf>
    <xf numFmtId="0" fontId="1" fillId="3" borderId="1" xfId="2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3" borderId="1" xfId="2" applyFont="1" applyBorder="1" applyAlignment="1">
      <alignment horizontal="center" vertical="center"/>
    </xf>
  </cellXfs>
  <cellStyles count="4">
    <cellStyle name="20% - Accent1" xfId="1" builtinId="30"/>
    <cellStyle name="40% - Accent1" xfId="2" builtinId="31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Sheet1!$D$10</c:f>
              <c:strCache>
                <c:ptCount val="1"/>
                <c:pt idx="0">
                  <c:v>y_i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Sheet1!$C$11:$C$43</c:f>
              <c:numCache>
                <c:formatCode>General</c:formatCode>
                <c:ptCount val="33"/>
                <c:pt idx="0">
                  <c:v>1</c:v>
                </c:pt>
                <c:pt idx="1">
                  <c:v>1.1000000000000001</c:v>
                </c:pt>
                <c:pt idx="2">
                  <c:v>1.2000000000000002</c:v>
                </c:pt>
                <c:pt idx="3">
                  <c:v>1.3000000000000003</c:v>
                </c:pt>
                <c:pt idx="4">
                  <c:v>1.4000000000000004</c:v>
                </c:pt>
                <c:pt idx="5">
                  <c:v>1.5000000000000004</c:v>
                </c:pt>
                <c:pt idx="6">
                  <c:v>1.6000000000000005</c:v>
                </c:pt>
                <c:pt idx="7">
                  <c:v>1.7000000000000006</c:v>
                </c:pt>
                <c:pt idx="8">
                  <c:v>1.8000000000000007</c:v>
                </c:pt>
                <c:pt idx="9">
                  <c:v>1.9000000000000008</c:v>
                </c:pt>
                <c:pt idx="10">
                  <c:v>2.0000000000000009</c:v>
                </c:pt>
                <c:pt idx="11">
                  <c:v>2</c:v>
                </c:pt>
                <c:pt idx="12">
                  <c:v>2.1</c:v>
                </c:pt>
                <c:pt idx="13">
                  <c:v>2.2000000000000002</c:v>
                </c:pt>
                <c:pt idx="14">
                  <c:v>2.3000000000000003</c:v>
                </c:pt>
                <c:pt idx="15">
                  <c:v>2.4000000000000004</c:v>
                </c:pt>
                <c:pt idx="16">
                  <c:v>2.5000000000000004</c:v>
                </c:pt>
                <c:pt idx="17">
                  <c:v>2.6000000000000005</c:v>
                </c:pt>
                <c:pt idx="18">
                  <c:v>2.7000000000000006</c:v>
                </c:pt>
                <c:pt idx="19">
                  <c:v>2.8000000000000007</c:v>
                </c:pt>
                <c:pt idx="20">
                  <c:v>2.9000000000000008</c:v>
                </c:pt>
                <c:pt idx="21">
                  <c:v>3.0000000000000009</c:v>
                </c:pt>
                <c:pt idx="22">
                  <c:v>3</c:v>
                </c:pt>
                <c:pt idx="23">
                  <c:v>3.1</c:v>
                </c:pt>
                <c:pt idx="24">
                  <c:v>3.2</c:v>
                </c:pt>
                <c:pt idx="25">
                  <c:v>3.3000000000000003</c:v>
                </c:pt>
                <c:pt idx="26">
                  <c:v>3.4000000000000004</c:v>
                </c:pt>
                <c:pt idx="27">
                  <c:v>3.5000000000000004</c:v>
                </c:pt>
                <c:pt idx="28">
                  <c:v>3.6000000000000005</c:v>
                </c:pt>
                <c:pt idx="29">
                  <c:v>3.7000000000000006</c:v>
                </c:pt>
                <c:pt idx="30">
                  <c:v>3.8000000000000007</c:v>
                </c:pt>
                <c:pt idx="31">
                  <c:v>3.9000000000000008</c:v>
                </c:pt>
                <c:pt idx="32">
                  <c:v>4.0000000000000009</c:v>
                </c:pt>
              </c:numCache>
            </c:numRef>
          </c:xVal>
          <c:yVal>
            <c:numRef>
              <c:f>Sheet1!$D$11:$D$43</c:f>
              <c:numCache>
                <c:formatCode>General</c:formatCode>
                <c:ptCount val="33"/>
                <c:pt idx="0">
                  <c:v>0</c:v>
                </c:pt>
                <c:pt idx="1">
                  <c:v>4.620000000000004E-2</c:v>
                </c:pt>
                <c:pt idx="2">
                  <c:v>9.2400000000000079E-2</c:v>
                </c:pt>
                <c:pt idx="3">
                  <c:v>0.13860000000000011</c:v>
                </c:pt>
                <c:pt idx="4">
                  <c:v>0.18480000000000016</c:v>
                </c:pt>
                <c:pt idx="5">
                  <c:v>0.23100000000000018</c:v>
                </c:pt>
                <c:pt idx="6">
                  <c:v>0.27720000000000022</c:v>
                </c:pt>
                <c:pt idx="7">
                  <c:v>0.32340000000000024</c:v>
                </c:pt>
                <c:pt idx="8">
                  <c:v>0.36960000000000032</c:v>
                </c:pt>
                <c:pt idx="9">
                  <c:v>0.41580000000000034</c:v>
                </c:pt>
                <c:pt idx="10">
                  <c:v>0.46200000000000035</c:v>
                </c:pt>
                <c:pt idx="11">
                  <c:v>0.46199999999999997</c:v>
                </c:pt>
                <c:pt idx="12">
                  <c:v>0.50819999999999999</c:v>
                </c:pt>
                <c:pt idx="13">
                  <c:v>0.5544</c:v>
                </c:pt>
                <c:pt idx="14">
                  <c:v>0.60060000000000013</c:v>
                </c:pt>
                <c:pt idx="15">
                  <c:v>0.64680000000000015</c:v>
                </c:pt>
                <c:pt idx="16">
                  <c:v>0.69300000000000017</c:v>
                </c:pt>
                <c:pt idx="17">
                  <c:v>0.73920000000000019</c:v>
                </c:pt>
                <c:pt idx="18">
                  <c:v>0.78540000000000021</c:v>
                </c:pt>
                <c:pt idx="19">
                  <c:v>0.83160000000000023</c:v>
                </c:pt>
                <c:pt idx="20">
                  <c:v>0.87780000000000036</c:v>
                </c:pt>
                <c:pt idx="21">
                  <c:v>0.92400000000000038</c:v>
                </c:pt>
                <c:pt idx="22">
                  <c:v>0.92399999999999993</c:v>
                </c:pt>
                <c:pt idx="23">
                  <c:v>0.97019999999999995</c:v>
                </c:pt>
                <c:pt idx="24">
                  <c:v>1.0164</c:v>
                </c:pt>
                <c:pt idx="25">
                  <c:v>1.0626</c:v>
                </c:pt>
                <c:pt idx="26">
                  <c:v>1.1088</c:v>
                </c:pt>
                <c:pt idx="27">
                  <c:v>1.155</c:v>
                </c:pt>
                <c:pt idx="28">
                  <c:v>1.2012000000000003</c:v>
                </c:pt>
                <c:pt idx="29">
                  <c:v>1.2474000000000003</c:v>
                </c:pt>
                <c:pt idx="30">
                  <c:v>1.2936000000000003</c:v>
                </c:pt>
                <c:pt idx="31">
                  <c:v>1.3398000000000003</c:v>
                </c:pt>
                <c:pt idx="32">
                  <c:v>1.3860000000000003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42-464C-B85E-108F49A2C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011247"/>
        <c:axId val="1977205967"/>
      </c:scatterChart>
      <c:valAx>
        <c:axId val="2116011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205967"/>
        <c:crosses val="autoZero"/>
        <c:crossBetween val="midCat"/>
      </c:valAx>
      <c:valAx>
        <c:axId val="197720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1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Sheet1!$L$11</c:f>
              <c:strCache>
                <c:ptCount val="1"/>
                <c:pt idx="0">
                  <c:v>y_i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Sheet1!$K$12:$K$62</c:f>
              <c:numCache>
                <c:formatCode>General</c:formatCode>
                <c:ptCount val="51"/>
                <c:pt idx="0">
                  <c:v>1</c:v>
                </c:pt>
                <c:pt idx="1">
                  <c:v>1.1000000000000001</c:v>
                </c:pt>
                <c:pt idx="2">
                  <c:v>1.2000000000000002</c:v>
                </c:pt>
                <c:pt idx="3">
                  <c:v>1.3000000000000003</c:v>
                </c:pt>
                <c:pt idx="4">
                  <c:v>1.4000000000000004</c:v>
                </c:pt>
                <c:pt idx="5">
                  <c:v>1.5000000000000004</c:v>
                </c:pt>
                <c:pt idx="6">
                  <c:v>1.6000000000000005</c:v>
                </c:pt>
                <c:pt idx="7">
                  <c:v>1.7000000000000006</c:v>
                </c:pt>
                <c:pt idx="8">
                  <c:v>1.8000000000000007</c:v>
                </c:pt>
                <c:pt idx="9">
                  <c:v>1.9000000000000008</c:v>
                </c:pt>
                <c:pt idx="10">
                  <c:v>2.0000000000000009</c:v>
                </c:pt>
                <c:pt idx="11">
                  <c:v>2.100000000000001</c:v>
                </c:pt>
                <c:pt idx="12">
                  <c:v>2.2000000000000011</c:v>
                </c:pt>
                <c:pt idx="13">
                  <c:v>2.3000000000000012</c:v>
                </c:pt>
                <c:pt idx="14">
                  <c:v>2.4000000000000012</c:v>
                </c:pt>
                <c:pt idx="15">
                  <c:v>2.5000000000000013</c:v>
                </c:pt>
                <c:pt idx="16">
                  <c:v>2.6000000000000014</c:v>
                </c:pt>
                <c:pt idx="17">
                  <c:v>2.7000000000000015</c:v>
                </c:pt>
                <c:pt idx="18">
                  <c:v>2.8000000000000016</c:v>
                </c:pt>
                <c:pt idx="19">
                  <c:v>2.9000000000000017</c:v>
                </c:pt>
                <c:pt idx="20">
                  <c:v>3.0000000000000018</c:v>
                </c:pt>
                <c:pt idx="21">
                  <c:v>3.1000000000000019</c:v>
                </c:pt>
                <c:pt idx="22">
                  <c:v>3.200000000000002</c:v>
                </c:pt>
                <c:pt idx="23">
                  <c:v>3.300000000000002</c:v>
                </c:pt>
                <c:pt idx="24">
                  <c:v>3.4000000000000021</c:v>
                </c:pt>
                <c:pt idx="25">
                  <c:v>3.5000000000000022</c:v>
                </c:pt>
                <c:pt idx="26">
                  <c:v>3.6000000000000023</c:v>
                </c:pt>
                <c:pt idx="27">
                  <c:v>3.7000000000000024</c:v>
                </c:pt>
                <c:pt idx="28">
                  <c:v>3.8000000000000025</c:v>
                </c:pt>
                <c:pt idx="29">
                  <c:v>3.9000000000000026</c:v>
                </c:pt>
                <c:pt idx="30">
                  <c:v>4.0000000000000027</c:v>
                </c:pt>
                <c:pt idx="31">
                  <c:v>4.1000000000000023</c:v>
                </c:pt>
                <c:pt idx="32">
                  <c:v>4.200000000000002</c:v>
                </c:pt>
                <c:pt idx="33">
                  <c:v>4.3000000000000016</c:v>
                </c:pt>
                <c:pt idx="34">
                  <c:v>4.4000000000000012</c:v>
                </c:pt>
                <c:pt idx="35">
                  <c:v>4.5000000000000009</c:v>
                </c:pt>
                <c:pt idx="36">
                  <c:v>4.6000000000000005</c:v>
                </c:pt>
                <c:pt idx="37">
                  <c:v>4.7</c:v>
                </c:pt>
                <c:pt idx="38">
                  <c:v>4.8</c:v>
                </c:pt>
                <c:pt idx="39">
                  <c:v>4.8999999999999995</c:v>
                </c:pt>
                <c:pt idx="40">
                  <c:v>4.9999999999999991</c:v>
                </c:pt>
                <c:pt idx="41">
                  <c:v>5.0999999999999988</c:v>
                </c:pt>
                <c:pt idx="42">
                  <c:v>5.1999999999999984</c:v>
                </c:pt>
                <c:pt idx="43">
                  <c:v>5.299999999999998</c:v>
                </c:pt>
                <c:pt idx="44">
                  <c:v>5.3999999999999977</c:v>
                </c:pt>
                <c:pt idx="45">
                  <c:v>5.4999999999999973</c:v>
                </c:pt>
                <c:pt idx="46">
                  <c:v>5.599999999999997</c:v>
                </c:pt>
                <c:pt idx="47">
                  <c:v>5.6999999999999966</c:v>
                </c:pt>
                <c:pt idx="48">
                  <c:v>5.7999999999999963</c:v>
                </c:pt>
                <c:pt idx="49">
                  <c:v>5.8999999999999959</c:v>
                </c:pt>
                <c:pt idx="50">
                  <c:v>5.9999999999999956</c:v>
                </c:pt>
              </c:numCache>
            </c:numRef>
          </c:xVal>
          <c:yVal>
            <c:numRef>
              <c:f>Sheet1!$L$12:$L$62</c:f>
              <c:numCache>
                <c:formatCode>General</c:formatCode>
                <c:ptCount val="51"/>
                <c:pt idx="0">
                  <c:v>0</c:v>
                </c:pt>
                <c:pt idx="1">
                  <c:v>6.1222000000000047E-2</c:v>
                </c:pt>
                <c:pt idx="2">
                  <c:v>0.12140800000000009</c:v>
                </c:pt>
                <c:pt idx="3">
                  <c:v>0.18055800000000014</c:v>
                </c:pt>
                <c:pt idx="4">
                  <c:v>0.23867200000000016</c:v>
                </c:pt>
                <c:pt idx="5">
                  <c:v>0.29575000000000018</c:v>
                </c:pt>
                <c:pt idx="6">
                  <c:v>0.35179200000000022</c:v>
                </c:pt>
                <c:pt idx="7">
                  <c:v>0.40679800000000027</c:v>
                </c:pt>
                <c:pt idx="8">
                  <c:v>0.46076800000000034</c:v>
                </c:pt>
                <c:pt idx="9">
                  <c:v>0.51370200000000033</c:v>
                </c:pt>
                <c:pt idx="10">
                  <c:v>0.56560000000000032</c:v>
                </c:pt>
                <c:pt idx="11">
                  <c:v>0.6164620000000004</c:v>
                </c:pt>
                <c:pt idx="12">
                  <c:v>0.66628800000000044</c:v>
                </c:pt>
                <c:pt idx="13">
                  <c:v>0.71507800000000044</c:v>
                </c:pt>
                <c:pt idx="14">
                  <c:v>0.7628320000000004</c:v>
                </c:pt>
                <c:pt idx="15">
                  <c:v>0.80955000000000055</c:v>
                </c:pt>
                <c:pt idx="16">
                  <c:v>0.85523200000000055</c:v>
                </c:pt>
                <c:pt idx="17">
                  <c:v>0.89987800000000062</c:v>
                </c:pt>
                <c:pt idx="18">
                  <c:v>0.94348800000000055</c:v>
                </c:pt>
                <c:pt idx="19">
                  <c:v>0.98606200000000055</c:v>
                </c:pt>
                <c:pt idx="20">
                  <c:v>1.0276000000000005</c:v>
                </c:pt>
                <c:pt idx="21">
                  <c:v>1.0681020000000008</c:v>
                </c:pt>
                <c:pt idx="22">
                  <c:v>1.1075680000000008</c:v>
                </c:pt>
                <c:pt idx="23">
                  <c:v>1.1459980000000007</c:v>
                </c:pt>
                <c:pt idx="24">
                  <c:v>1.1833920000000007</c:v>
                </c:pt>
                <c:pt idx="25">
                  <c:v>1.2197500000000006</c:v>
                </c:pt>
                <c:pt idx="26">
                  <c:v>1.2550720000000006</c:v>
                </c:pt>
                <c:pt idx="27">
                  <c:v>1.2893580000000007</c:v>
                </c:pt>
                <c:pt idx="28">
                  <c:v>1.3226080000000007</c:v>
                </c:pt>
                <c:pt idx="29">
                  <c:v>1.3548220000000006</c:v>
                </c:pt>
                <c:pt idx="30">
                  <c:v>1.3860000000000008</c:v>
                </c:pt>
                <c:pt idx="31">
                  <c:v>1.4161420000000007</c:v>
                </c:pt>
                <c:pt idx="32">
                  <c:v>1.4452480000000005</c:v>
                </c:pt>
                <c:pt idx="33">
                  <c:v>1.4733180000000003</c:v>
                </c:pt>
                <c:pt idx="34">
                  <c:v>1.5003520000000001</c:v>
                </c:pt>
                <c:pt idx="35">
                  <c:v>1.5263500000000001</c:v>
                </c:pt>
                <c:pt idx="36">
                  <c:v>1.5513120000000002</c:v>
                </c:pt>
                <c:pt idx="37">
                  <c:v>1.5752380000000001</c:v>
                </c:pt>
                <c:pt idx="38">
                  <c:v>1.598128</c:v>
                </c:pt>
                <c:pt idx="39">
                  <c:v>1.6199819999999998</c:v>
                </c:pt>
                <c:pt idx="40">
                  <c:v>1.6407999999999998</c:v>
                </c:pt>
                <c:pt idx="41">
                  <c:v>1.6605819999999996</c:v>
                </c:pt>
                <c:pt idx="42">
                  <c:v>1.6793279999999995</c:v>
                </c:pt>
                <c:pt idx="43">
                  <c:v>1.6970379999999996</c:v>
                </c:pt>
                <c:pt idx="44">
                  <c:v>1.7137119999999995</c:v>
                </c:pt>
                <c:pt idx="45">
                  <c:v>1.7293499999999993</c:v>
                </c:pt>
                <c:pt idx="46">
                  <c:v>1.7439519999999997</c:v>
                </c:pt>
                <c:pt idx="47">
                  <c:v>1.7575179999999997</c:v>
                </c:pt>
                <c:pt idx="48">
                  <c:v>1.7700479999999996</c:v>
                </c:pt>
                <c:pt idx="49">
                  <c:v>1.7815419999999997</c:v>
                </c:pt>
                <c:pt idx="50">
                  <c:v>1.7919999999999996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0E-4593-81C5-0E74D2939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010783"/>
        <c:axId val="1977210287"/>
      </c:scatterChart>
      <c:valAx>
        <c:axId val="2116010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210287"/>
        <c:crosses val="autoZero"/>
        <c:crossBetween val="midCat"/>
      </c:valAx>
      <c:valAx>
        <c:axId val="197721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0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47626</xdr:colOff>
      <xdr:row>9</xdr:row>
      <xdr:rowOff>13493</xdr:rowOff>
    </xdr:from>
    <xdr:to>
      <xdr:col>8</xdr:col>
      <xdr:colOff>587375</xdr:colOff>
      <xdr:row>30</xdr:row>
      <xdr:rowOff>23813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13FE50-9384-0D12-F2D0-B30895E3C2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63503</xdr:colOff>
      <xdr:row>10</xdr:row>
      <xdr:rowOff>190499</xdr:rowOff>
    </xdr:from>
    <xdr:to>
      <xdr:col>18</xdr:col>
      <xdr:colOff>476250</xdr:colOff>
      <xdr:row>29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22FD81-5498-2F52-8EB3-9A7AE274B7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34305-56D6-44AD-8B51-0A6A08427F8B}">
  <dimension ref="B1:Y73"/>
  <sheetViews>
    <sheetView tabSelected="1" topLeftCell="B4" zoomScale="120" zoomScaleNormal="120" workbookViewId="0">
      <selection activeCell="O43" sqref="O43"/>
    </sheetView>
  </sheetViews>
  <sheetFormatPr defaultRowHeight="15" x14ac:dyDescent="0.25"/>
  <sheetData>
    <row r="1" spans="2:25" s="1" customFormat="1" x14ac:dyDescent="0.25"/>
    <row r="2" spans="2:25" s="1" customFormat="1" x14ac:dyDescent="0.25">
      <c r="B2" s="4" t="s">
        <v>0</v>
      </c>
      <c r="C2" s="4"/>
      <c r="D2" s="4"/>
      <c r="J2" s="4" t="s">
        <v>0</v>
      </c>
      <c r="K2" s="4"/>
      <c r="L2" s="4"/>
      <c r="T2" s="4" t="s">
        <v>0</v>
      </c>
      <c r="U2" s="4"/>
      <c r="V2" s="4"/>
    </row>
    <row r="3" spans="2:25" s="1" customFormat="1" x14ac:dyDescent="0.25"/>
    <row r="4" spans="2:25" s="1" customFormat="1" x14ac:dyDescent="0.25">
      <c r="B4" s="4" t="s">
        <v>1</v>
      </c>
      <c r="C4" s="4"/>
      <c r="D4" s="4"/>
      <c r="J4" s="7" t="s">
        <v>7</v>
      </c>
      <c r="K4" s="4"/>
      <c r="L4" s="4"/>
      <c r="T4" s="7" t="s">
        <v>11</v>
      </c>
      <c r="U4" s="4"/>
      <c r="V4" s="4"/>
    </row>
    <row r="5" spans="2:25" s="1" customFormat="1" x14ac:dyDescent="0.25"/>
    <row r="6" spans="2:25" s="1" customFormat="1" x14ac:dyDescent="0.25">
      <c r="B6" s="5" t="s">
        <v>4</v>
      </c>
      <c r="C6" s="5" t="s">
        <v>3</v>
      </c>
      <c r="D6" s="5" t="s">
        <v>2</v>
      </c>
      <c r="E6" s="5" t="s">
        <v>1</v>
      </c>
      <c r="J6" s="5" t="s">
        <v>4</v>
      </c>
      <c r="K6" s="5" t="s">
        <v>3</v>
      </c>
      <c r="L6" s="5" t="s">
        <v>2</v>
      </c>
      <c r="M6" s="5" t="s">
        <v>1</v>
      </c>
      <c r="N6" s="5" t="s">
        <v>7</v>
      </c>
      <c r="O6"/>
      <c r="P6"/>
      <c r="Q6"/>
      <c r="R6"/>
      <c r="T6" s="5" t="s">
        <v>4</v>
      </c>
      <c r="U6" s="5" t="s">
        <v>3</v>
      </c>
      <c r="V6" s="5" t="s">
        <v>2</v>
      </c>
      <c r="W6" s="5" t="s">
        <v>8</v>
      </c>
      <c r="X6" s="5" t="s">
        <v>9</v>
      </c>
      <c r="Y6" s="5" t="s">
        <v>10</v>
      </c>
    </row>
    <row r="7" spans="2:25" s="1" customFormat="1" x14ac:dyDescent="0.25">
      <c r="B7" s="2">
        <v>0</v>
      </c>
      <c r="C7" s="2">
        <v>1</v>
      </c>
      <c r="D7" s="2">
        <v>0</v>
      </c>
      <c r="E7" s="3">
        <f>D7+((D8-D7)/(C8-C7))*(2-C7)</f>
        <v>0.46199999999999997</v>
      </c>
      <c r="J7" s="2">
        <v>0</v>
      </c>
      <c r="K7" s="2">
        <f>C7</f>
        <v>1</v>
      </c>
      <c r="L7" s="2">
        <f>D7</f>
        <v>0</v>
      </c>
      <c r="M7" s="3">
        <f>E7</f>
        <v>0.46199999999999997</v>
      </c>
      <c r="N7" s="3">
        <f>L7+M7*(2-K7)+M8*(2-K7)*(2-K8)</f>
        <v>0.56559999999999988</v>
      </c>
      <c r="O7"/>
      <c r="P7"/>
      <c r="Q7"/>
      <c r="R7"/>
      <c r="T7" s="2">
        <v>0</v>
      </c>
      <c r="U7" s="2">
        <v>1</v>
      </c>
      <c r="V7" s="2">
        <v>0</v>
      </c>
      <c r="W7" s="2">
        <f>(V8-V7)/(U8-U7)</f>
        <v>0.46199999999999997</v>
      </c>
      <c r="X7" s="2">
        <f>(W8-W7)/(U9-U7)</f>
        <v>-5.9499999999999942E-2</v>
      </c>
      <c r="Y7" s="2">
        <f>(X8-X7)/(U10-U7)</f>
        <v>7.6999999999999621E-3</v>
      </c>
    </row>
    <row r="8" spans="2:25" s="1" customFormat="1" x14ac:dyDescent="0.25">
      <c r="B8" s="2">
        <v>1</v>
      </c>
      <c r="C8" s="2">
        <v>4</v>
      </c>
      <c r="D8" s="2">
        <v>1.3859999999999999</v>
      </c>
      <c r="E8" s="2"/>
      <c r="J8" s="2">
        <v>1</v>
      </c>
      <c r="K8" s="2">
        <f>C8</f>
        <v>4</v>
      </c>
      <c r="L8" s="2">
        <f>D8</f>
        <v>1.3859999999999999</v>
      </c>
      <c r="M8" s="3">
        <f>(((L9-L8)/(K9-K8)-M7)/(K9-K7))</f>
        <v>-5.1799999999999978E-2</v>
      </c>
      <c r="T8" s="2">
        <v>1</v>
      </c>
      <c r="U8" s="2">
        <v>4</v>
      </c>
      <c r="V8" s="2">
        <v>1.3859999999999999</v>
      </c>
      <c r="W8" s="2">
        <f>(V9-V8)/(U9-U8)</f>
        <v>0.2240000000000002</v>
      </c>
      <c r="X8" s="2">
        <f>(W9-W8)/(U10-U8)</f>
        <v>-2.100000000000013E-2</v>
      </c>
    </row>
    <row r="9" spans="2:25" s="1" customFormat="1" x14ac:dyDescent="0.25">
      <c r="J9" s="2">
        <v>2</v>
      </c>
      <c r="K9" s="2">
        <v>6</v>
      </c>
      <c r="L9" s="2">
        <v>1.792</v>
      </c>
      <c r="T9" s="2">
        <v>2</v>
      </c>
      <c r="U9" s="2">
        <v>5</v>
      </c>
      <c r="V9" s="2">
        <v>1.61</v>
      </c>
      <c r="W9" s="2">
        <f>(V10-V9)/(U10-U9)</f>
        <v>0.18199999999999994</v>
      </c>
    </row>
    <row r="10" spans="2:25" s="1" customFormat="1" x14ac:dyDescent="0.25">
      <c r="C10" s="5" t="s">
        <v>5</v>
      </c>
      <c r="D10" s="5" t="s">
        <v>6</v>
      </c>
      <c r="T10" s="2">
        <v>3</v>
      </c>
      <c r="U10" s="2">
        <v>6</v>
      </c>
      <c r="V10" s="2">
        <v>1.792</v>
      </c>
    </row>
    <row r="11" spans="2:25" s="1" customFormat="1" x14ac:dyDescent="0.25">
      <c r="C11" s="2">
        <v>1</v>
      </c>
      <c r="D11" s="2">
        <f>$D$7+(($D$8-$D$7)/($C$8-$C$7))*(C11-$C$7)</f>
        <v>0</v>
      </c>
      <c r="K11" s="5" t="s">
        <v>5</v>
      </c>
      <c r="L11" s="5" t="s">
        <v>6</v>
      </c>
    </row>
    <row r="12" spans="2:25" s="1" customFormat="1" x14ac:dyDescent="0.25">
      <c r="C12" s="2">
        <f>C11+0.1</f>
        <v>1.1000000000000001</v>
      </c>
      <c r="D12" s="2">
        <f t="shared" ref="D12:D43" si="0">$D$7+(($D$8-$D$7)/($C$8-$C$7))*(C12-$C$7)</f>
        <v>4.620000000000004E-2</v>
      </c>
      <c r="K12" s="2">
        <v>1</v>
      </c>
      <c r="L12" s="2">
        <f>$L$7+$M$7*(K12-$K$7)+$M$8*(K12-$K$7)*(K12-$K$8)</f>
        <v>0</v>
      </c>
    </row>
    <row r="13" spans="2:25" s="1" customFormat="1" x14ac:dyDescent="0.25">
      <c r="C13" s="2">
        <f t="shared" ref="C13:C20" si="1">C12+0.1</f>
        <v>1.2000000000000002</v>
      </c>
      <c r="D13" s="2">
        <f t="shared" si="0"/>
        <v>9.2400000000000079E-2</v>
      </c>
      <c r="K13" s="2">
        <f>K12+0.1</f>
        <v>1.1000000000000001</v>
      </c>
      <c r="L13" s="2">
        <f t="shared" ref="L13:L62" si="2">$L$7+$M$7*(K13-$K$7)+$M$8*(K13-$K$7)*(K13-$K$8)</f>
        <v>6.1222000000000047E-2</v>
      </c>
    </row>
    <row r="14" spans="2:25" s="1" customFormat="1" x14ac:dyDescent="0.25">
      <c r="C14" s="2">
        <f t="shared" si="1"/>
        <v>1.3000000000000003</v>
      </c>
      <c r="D14" s="2">
        <f t="shared" si="0"/>
        <v>0.13860000000000011</v>
      </c>
      <c r="K14" s="2">
        <f t="shared" ref="K14:K62" si="3">K13+0.1</f>
        <v>1.2000000000000002</v>
      </c>
      <c r="L14" s="2">
        <f t="shared" si="2"/>
        <v>0.12140800000000009</v>
      </c>
    </row>
    <row r="15" spans="2:25" s="1" customFormat="1" x14ac:dyDescent="0.25">
      <c r="C15" s="2">
        <f t="shared" si="1"/>
        <v>1.4000000000000004</v>
      </c>
      <c r="D15" s="2">
        <f t="shared" si="0"/>
        <v>0.18480000000000016</v>
      </c>
      <c r="K15" s="2">
        <f t="shared" si="3"/>
        <v>1.3000000000000003</v>
      </c>
      <c r="L15" s="2">
        <f t="shared" si="2"/>
        <v>0.18055800000000014</v>
      </c>
    </row>
    <row r="16" spans="2:25" s="1" customFormat="1" x14ac:dyDescent="0.25">
      <c r="C16" s="2">
        <f t="shared" si="1"/>
        <v>1.5000000000000004</v>
      </c>
      <c r="D16" s="2">
        <f t="shared" si="0"/>
        <v>0.23100000000000018</v>
      </c>
      <c r="K16" s="2">
        <f t="shared" si="3"/>
        <v>1.4000000000000004</v>
      </c>
      <c r="L16" s="2">
        <f t="shared" si="2"/>
        <v>0.23867200000000016</v>
      </c>
    </row>
    <row r="17" spans="3:12" s="1" customFormat="1" x14ac:dyDescent="0.25">
      <c r="C17" s="2">
        <f t="shared" si="1"/>
        <v>1.6000000000000005</v>
      </c>
      <c r="D17" s="2">
        <f t="shared" si="0"/>
        <v>0.27720000000000022</v>
      </c>
      <c r="K17" s="2">
        <f t="shared" si="3"/>
        <v>1.5000000000000004</v>
      </c>
      <c r="L17" s="2">
        <f t="shared" si="2"/>
        <v>0.29575000000000018</v>
      </c>
    </row>
    <row r="18" spans="3:12" s="1" customFormat="1" x14ac:dyDescent="0.25">
      <c r="C18" s="2">
        <f t="shared" si="1"/>
        <v>1.7000000000000006</v>
      </c>
      <c r="D18" s="2">
        <f t="shared" si="0"/>
        <v>0.32340000000000024</v>
      </c>
      <c r="K18" s="2">
        <f t="shared" si="3"/>
        <v>1.6000000000000005</v>
      </c>
      <c r="L18" s="2">
        <f t="shared" si="2"/>
        <v>0.35179200000000022</v>
      </c>
    </row>
    <row r="19" spans="3:12" s="1" customFormat="1" x14ac:dyDescent="0.25">
      <c r="C19" s="2">
        <f>C18+0.1</f>
        <v>1.8000000000000007</v>
      </c>
      <c r="D19" s="2">
        <f t="shared" si="0"/>
        <v>0.36960000000000032</v>
      </c>
      <c r="K19" s="2">
        <f t="shared" si="3"/>
        <v>1.7000000000000006</v>
      </c>
      <c r="L19" s="2">
        <f t="shared" si="2"/>
        <v>0.40679800000000027</v>
      </c>
    </row>
    <row r="20" spans="3:12" s="1" customFormat="1" x14ac:dyDescent="0.25">
      <c r="C20" s="2">
        <f t="shared" si="1"/>
        <v>1.9000000000000008</v>
      </c>
      <c r="D20" s="2">
        <f t="shared" si="0"/>
        <v>0.41580000000000034</v>
      </c>
      <c r="K20" s="2">
        <f t="shared" si="3"/>
        <v>1.8000000000000007</v>
      </c>
      <c r="L20" s="2">
        <f t="shared" si="2"/>
        <v>0.46076800000000034</v>
      </c>
    </row>
    <row r="21" spans="3:12" s="1" customFormat="1" x14ac:dyDescent="0.25">
      <c r="C21" s="2">
        <f>C20+0.1</f>
        <v>2.0000000000000009</v>
      </c>
      <c r="D21" s="2">
        <f t="shared" si="0"/>
        <v>0.46200000000000035</v>
      </c>
      <c r="K21" s="2">
        <f t="shared" si="3"/>
        <v>1.9000000000000008</v>
      </c>
      <c r="L21" s="2">
        <f t="shared" si="2"/>
        <v>0.51370200000000033</v>
      </c>
    </row>
    <row r="22" spans="3:12" s="1" customFormat="1" x14ac:dyDescent="0.25">
      <c r="C22" s="2">
        <v>2</v>
      </c>
      <c r="D22" s="2">
        <f t="shared" si="0"/>
        <v>0.46199999999999997</v>
      </c>
      <c r="K22" s="2">
        <f t="shared" si="3"/>
        <v>2.0000000000000009</v>
      </c>
      <c r="L22" s="2">
        <f t="shared" si="2"/>
        <v>0.56560000000000032</v>
      </c>
    </row>
    <row r="23" spans="3:12" s="1" customFormat="1" x14ac:dyDescent="0.25">
      <c r="C23" s="2">
        <f t="shared" ref="C23:C32" si="4">C22+0.1</f>
        <v>2.1</v>
      </c>
      <c r="D23" s="2">
        <f t="shared" si="0"/>
        <v>0.50819999999999999</v>
      </c>
      <c r="K23" s="2">
        <f t="shared" si="3"/>
        <v>2.100000000000001</v>
      </c>
      <c r="L23" s="2">
        <f t="shared" si="2"/>
        <v>0.6164620000000004</v>
      </c>
    </row>
    <row r="24" spans="3:12" s="1" customFormat="1" x14ac:dyDescent="0.25">
      <c r="C24" s="2">
        <f t="shared" si="4"/>
        <v>2.2000000000000002</v>
      </c>
      <c r="D24" s="2">
        <f t="shared" si="0"/>
        <v>0.5544</v>
      </c>
      <c r="K24" s="2">
        <f t="shared" si="3"/>
        <v>2.2000000000000011</v>
      </c>
      <c r="L24" s="2">
        <f t="shared" si="2"/>
        <v>0.66628800000000044</v>
      </c>
    </row>
    <row r="25" spans="3:12" s="1" customFormat="1" x14ac:dyDescent="0.25">
      <c r="C25" s="2">
        <f t="shared" si="4"/>
        <v>2.3000000000000003</v>
      </c>
      <c r="D25" s="2">
        <f t="shared" si="0"/>
        <v>0.60060000000000013</v>
      </c>
      <c r="K25" s="2">
        <f t="shared" si="3"/>
        <v>2.3000000000000012</v>
      </c>
      <c r="L25" s="2">
        <f t="shared" si="2"/>
        <v>0.71507800000000044</v>
      </c>
    </row>
    <row r="26" spans="3:12" s="1" customFormat="1" x14ac:dyDescent="0.25">
      <c r="C26" s="2">
        <f t="shared" si="4"/>
        <v>2.4000000000000004</v>
      </c>
      <c r="D26" s="2">
        <f t="shared" si="0"/>
        <v>0.64680000000000015</v>
      </c>
      <c r="K26" s="2">
        <f t="shared" si="3"/>
        <v>2.4000000000000012</v>
      </c>
      <c r="L26" s="2">
        <f t="shared" si="2"/>
        <v>0.7628320000000004</v>
      </c>
    </row>
    <row r="27" spans="3:12" s="1" customFormat="1" x14ac:dyDescent="0.25">
      <c r="C27" s="2">
        <f t="shared" si="4"/>
        <v>2.5000000000000004</v>
      </c>
      <c r="D27" s="2">
        <f t="shared" si="0"/>
        <v>0.69300000000000017</v>
      </c>
      <c r="K27" s="2">
        <f t="shared" si="3"/>
        <v>2.5000000000000013</v>
      </c>
      <c r="L27" s="2">
        <f t="shared" si="2"/>
        <v>0.80955000000000055</v>
      </c>
    </row>
    <row r="28" spans="3:12" s="1" customFormat="1" x14ac:dyDescent="0.25">
      <c r="C28" s="2">
        <f t="shared" si="4"/>
        <v>2.6000000000000005</v>
      </c>
      <c r="D28" s="2">
        <f t="shared" si="0"/>
        <v>0.73920000000000019</v>
      </c>
      <c r="K28" s="2">
        <f t="shared" si="3"/>
        <v>2.6000000000000014</v>
      </c>
      <c r="L28" s="2">
        <f t="shared" si="2"/>
        <v>0.85523200000000055</v>
      </c>
    </row>
    <row r="29" spans="3:12" s="1" customFormat="1" x14ac:dyDescent="0.25">
      <c r="C29" s="2">
        <f t="shared" si="4"/>
        <v>2.7000000000000006</v>
      </c>
      <c r="D29" s="2">
        <f t="shared" si="0"/>
        <v>0.78540000000000021</v>
      </c>
      <c r="K29" s="2">
        <f t="shared" si="3"/>
        <v>2.7000000000000015</v>
      </c>
      <c r="L29" s="2">
        <f t="shared" si="2"/>
        <v>0.89987800000000062</v>
      </c>
    </row>
    <row r="30" spans="3:12" s="1" customFormat="1" x14ac:dyDescent="0.25">
      <c r="C30" s="2">
        <f t="shared" si="4"/>
        <v>2.8000000000000007</v>
      </c>
      <c r="D30" s="2">
        <f t="shared" si="0"/>
        <v>0.83160000000000023</v>
      </c>
      <c r="K30" s="2">
        <f t="shared" si="3"/>
        <v>2.8000000000000016</v>
      </c>
      <c r="L30" s="2">
        <f t="shared" si="2"/>
        <v>0.94348800000000055</v>
      </c>
    </row>
    <row r="31" spans="3:12" s="1" customFormat="1" x14ac:dyDescent="0.25">
      <c r="C31" s="2">
        <f t="shared" si="4"/>
        <v>2.9000000000000008</v>
      </c>
      <c r="D31" s="2">
        <f t="shared" si="0"/>
        <v>0.87780000000000036</v>
      </c>
      <c r="K31" s="2">
        <f t="shared" si="3"/>
        <v>2.9000000000000017</v>
      </c>
      <c r="L31" s="2">
        <f t="shared" si="2"/>
        <v>0.98606200000000055</v>
      </c>
    </row>
    <row r="32" spans="3:12" s="1" customFormat="1" x14ac:dyDescent="0.25">
      <c r="C32" s="2">
        <f t="shared" si="4"/>
        <v>3.0000000000000009</v>
      </c>
      <c r="D32" s="2">
        <f t="shared" si="0"/>
        <v>0.92400000000000038</v>
      </c>
      <c r="K32" s="2">
        <f t="shared" si="3"/>
        <v>3.0000000000000018</v>
      </c>
      <c r="L32" s="2">
        <f t="shared" si="2"/>
        <v>1.0276000000000005</v>
      </c>
    </row>
    <row r="33" spans="3:12" s="1" customFormat="1" x14ac:dyDescent="0.25">
      <c r="C33" s="2">
        <v>3</v>
      </c>
      <c r="D33" s="2">
        <f t="shared" si="0"/>
        <v>0.92399999999999993</v>
      </c>
      <c r="K33" s="2">
        <f t="shared" si="3"/>
        <v>3.1000000000000019</v>
      </c>
      <c r="L33" s="2">
        <f t="shared" si="2"/>
        <v>1.0681020000000008</v>
      </c>
    </row>
    <row r="34" spans="3:12" s="1" customFormat="1" x14ac:dyDescent="0.25">
      <c r="C34" s="2">
        <f t="shared" ref="C34:C43" si="5">C33+0.1</f>
        <v>3.1</v>
      </c>
      <c r="D34" s="2">
        <f t="shared" si="0"/>
        <v>0.97019999999999995</v>
      </c>
      <c r="K34" s="2">
        <f t="shared" si="3"/>
        <v>3.200000000000002</v>
      </c>
      <c r="L34" s="2">
        <f t="shared" si="2"/>
        <v>1.1075680000000008</v>
      </c>
    </row>
    <row r="35" spans="3:12" s="1" customFormat="1" x14ac:dyDescent="0.25">
      <c r="C35" s="2">
        <f t="shared" si="5"/>
        <v>3.2</v>
      </c>
      <c r="D35" s="2">
        <f t="shared" si="0"/>
        <v>1.0164</v>
      </c>
      <c r="K35" s="2">
        <f t="shared" si="3"/>
        <v>3.300000000000002</v>
      </c>
      <c r="L35" s="2">
        <f t="shared" si="2"/>
        <v>1.1459980000000007</v>
      </c>
    </row>
    <row r="36" spans="3:12" s="1" customFormat="1" x14ac:dyDescent="0.25">
      <c r="C36" s="2">
        <f t="shared" si="5"/>
        <v>3.3000000000000003</v>
      </c>
      <c r="D36" s="2">
        <f t="shared" si="0"/>
        <v>1.0626</v>
      </c>
      <c r="K36" s="2">
        <f t="shared" si="3"/>
        <v>3.4000000000000021</v>
      </c>
      <c r="L36" s="2">
        <f t="shared" si="2"/>
        <v>1.1833920000000007</v>
      </c>
    </row>
    <row r="37" spans="3:12" s="1" customFormat="1" x14ac:dyDescent="0.25">
      <c r="C37" s="2">
        <f t="shared" si="5"/>
        <v>3.4000000000000004</v>
      </c>
      <c r="D37" s="2">
        <f t="shared" si="0"/>
        <v>1.1088</v>
      </c>
      <c r="K37" s="2">
        <f t="shared" si="3"/>
        <v>3.5000000000000022</v>
      </c>
      <c r="L37" s="2">
        <f t="shared" si="2"/>
        <v>1.2197500000000006</v>
      </c>
    </row>
    <row r="38" spans="3:12" s="1" customFormat="1" x14ac:dyDescent="0.25">
      <c r="C38" s="2">
        <f t="shared" si="5"/>
        <v>3.5000000000000004</v>
      </c>
      <c r="D38" s="2">
        <f t="shared" si="0"/>
        <v>1.155</v>
      </c>
      <c r="K38" s="2">
        <f t="shared" si="3"/>
        <v>3.6000000000000023</v>
      </c>
      <c r="L38" s="2">
        <f t="shared" si="2"/>
        <v>1.2550720000000006</v>
      </c>
    </row>
    <row r="39" spans="3:12" s="1" customFormat="1" x14ac:dyDescent="0.25">
      <c r="C39" s="2">
        <f t="shared" si="5"/>
        <v>3.6000000000000005</v>
      </c>
      <c r="D39" s="2">
        <f t="shared" si="0"/>
        <v>1.2012000000000003</v>
      </c>
      <c r="K39" s="2">
        <f t="shared" si="3"/>
        <v>3.7000000000000024</v>
      </c>
      <c r="L39" s="2">
        <f t="shared" si="2"/>
        <v>1.2893580000000007</v>
      </c>
    </row>
    <row r="40" spans="3:12" s="1" customFormat="1" x14ac:dyDescent="0.25">
      <c r="C40" s="2">
        <f t="shared" si="5"/>
        <v>3.7000000000000006</v>
      </c>
      <c r="D40" s="2">
        <f t="shared" si="0"/>
        <v>1.2474000000000003</v>
      </c>
      <c r="K40" s="2">
        <f t="shared" si="3"/>
        <v>3.8000000000000025</v>
      </c>
      <c r="L40" s="2">
        <f t="shared" si="2"/>
        <v>1.3226080000000007</v>
      </c>
    </row>
    <row r="41" spans="3:12" s="1" customFormat="1" x14ac:dyDescent="0.25">
      <c r="C41" s="2">
        <f t="shared" si="5"/>
        <v>3.8000000000000007</v>
      </c>
      <c r="D41" s="2">
        <f t="shared" si="0"/>
        <v>1.2936000000000003</v>
      </c>
      <c r="K41" s="2">
        <f t="shared" si="3"/>
        <v>3.9000000000000026</v>
      </c>
      <c r="L41" s="2">
        <f t="shared" si="2"/>
        <v>1.3548220000000006</v>
      </c>
    </row>
    <row r="42" spans="3:12" s="1" customFormat="1" x14ac:dyDescent="0.25">
      <c r="C42" s="2">
        <f t="shared" si="5"/>
        <v>3.9000000000000008</v>
      </c>
      <c r="D42" s="2">
        <f t="shared" si="0"/>
        <v>1.3398000000000003</v>
      </c>
      <c r="K42" s="3">
        <f t="shared" si="3"/>
        <v>4.0000000000000027</v>
      </c>
      <c r="L42" s="3">
        <f t="shared" si="2"/>
        <v>1.3860000000000008</v>
      </c>
    </row>
    <row r="43" spans="3:12" s="1" customFormat="1" x14ac:dyDescent="0.25">
      <c r="C43" s="3">
        <f t="shared" si="5"/>
        <v>4.0000000000000009</v>
      </c>
      <c r="D43" s="3">
        <f t="shared" si="0"/>
        <v>1.3860000000000003</v>
      </c>
      <c r="K43" s="2">
        <f t="shared" si="3"/>
        <v>4.1000000000000023</v>
      </c>
      <c r="L43" s="2">
        <f t="shared" si="2"/>
        <v>1.4161420000000007</v>
      </c>
    </row>
    <row r="44" spans="3:12" s="1" customFormat="1" x14ac:dyDescent="0.25">
      <c r="C44" s="6"/>
      <c r="D44" s="6"/>
      <c r="K44" s="2">
        <f t="shared" si="3"/>
        <v>4.200000000000002</v>
      </c>
      <c r="L44" s="2">
        <f t="shared" si="2"/>
        <v>1.4452480000000005</v>
      </c>
    </row>
    <row r="45" spans="3:12" s="1" customFormat="1" x14ac:dyDescent="0.25">
      <c r="C45" s="6"/>
      <c r="D45" s="6"/>
      <c r="K45" s="2">
        <f t="shared" si="3"/>
        <v>4.3000000000000016</v>
      </c>
      <c r="L45" s="2">
        <f t="shared" si="2"/>
        <v>1.4733180000000003</v>
      </c>
    </row>
    <row r="46" spans="3:12" s="1" customFormat="1" x14ac:dyDescent="0.25">
      <c r="C46" s="6"/>
      <c r="D46" s="6"/>
      <c r="K46" s="2">
        <f t="shared" si="3"/>
        <v>4.4000000000000012</v>
      </c>
      <c r="L46" s="2">
        <f t="shared" si="2"/>
        <v>1.5003520000000001</v>
      </c>
    </row>
    <row r="47" spans="3:12" s="1" customFormat="1" x14ac:dyDescent="0.25">
      <c r="C47" s="6"/>
      <c r="D47" s="6"/>
      <c r="K47" s="2">
        <f t="shared" si="3"/>
        <v>4.5000000000000009</v>
      </c>
      <c r="L47" s="2">
        <f t="shared" si="2"/>
        <v>1.5263500000000001</v>
      </c>
    </row>
    <row r="48" spans="3:12" s="1" customFormat="1" x14ac:dyDescent="0.25">
      <c r="C48" s="6"/>
      <c r="D48" s="6"/>
      <c r="K48" s="2">
        <f t="shared" si="3"/>
        <v>4.6000000000000005</v>
      </c>
      <c r="L48" s="2">
        <f t="shared" si="2"/>
        <v>1.5513120000000002</v>
      </c>
    </row>
    <row r="49" spans="3:12" s="1" customFormat="1" x14ac:dyDescent="0.25">
      <c r="C49" s="6"/>
      <c r="D49" s="6"/>
      <c r="K49" s="2">
        <f t="shared" si="3"/>
        <v>4.7</v>
      </c>
      <c r="L49" s="2">
        <f t="shared" si="2"/>
        <v>1.5752380000000001</v>
      </c>
    </row>
    <row r="50" spans="3:12" s="1" customFormat="1" x14ac:dyDescent="0.25">
      <c r="C50" s="6"/>
      <c r="D50" s="6"/>
      <c r="K50" s="2">
        <f t="shared" si="3"/>
        <v>4.8</v>
      </c>
      <c r="L50" s="2">
        <f t="shared" si="2"/>
        <v>1.598128</v>
      </c>
    </row>
    <row r="51" spans="3:12" s="1" customFormat="1" x14ac:dyDescent="0.25">
      <c r="C51" s="6"/>
      <c r="D51" s="6"/>
      <c r="K51" s="2">
        <f t="shared" si="3"/>
        <v>4.8999999999999995</v>
      </c>
      <c r="L51" s="2">
        <f t="shared" si="2"/>
        <v>1.6199819999999998</v>
      </c>
    </row>
    <row r="52" spans="3:12" s="1" customFormat="1" x14ac:dyDescent="0.25">
      <c r="C52" s="6"/>
      <c r="D52" s="6"/>
      <c r="K52" s="2">
        <f t="shared" si="3"/>
        <v>4.9999999999999991</v>
      </c>
      <c r="L52" s="2">
        <f t="shared" si="2"/>
        <v>1.6407999999999998</v>
      </c>
    </row>
    <row r="53" spans="3:12" s="1" customFormat="1" x14ac:dyDescent="0.25">
      <c r="C53" s="6"/>
      <c r="D53" s="6"/>
      <c r="K53" s="2">
        <f t="shared" si="3"/>
        <v>5.0999999999999988</v>
      </c>
      <c r="L53" s="2">
        <f t="shared" si="2"/>
        <v>1.6605819999999996</v>
      </c>
    </row>
    <row r="54" spans="3:12" s="1" customFormat="1" x14ac:dyDescent="0.25">
      <c r="C54" s="6"/>
      <c r="D54" s="6"/>
      <c r="K54" s="2">
        <f t="shared" si="3"/>
        <v>5.1999999999999984</v>
      </c>
      <c r="L54" s="2">
        <f t="shared" si="2"/>
        <v>1.6793279999999995</v>
      </c>
    </row>
    <row r="55" spans="3:12" s="1" customFormat="1" x14ac:dyDescent="0.25">
      <c r="C55" s="6"/>
      <c r="D55" s="6"/>
      <c r="K55" s="2">
        <f t="shared" si="3"/>
        <v>5.299999999999998</v>
      </c>
      <c r="L55" s="2">
        <f t="shared" si="2"/>
        <v>1.6970379999999996</v>
      </c>
    </row>
    <row r="56" spans="3:12" s="1" customFormat="1" x14ac:dyDescent="0.25">
      <c r="C56" s="6"/>
      <c r="D56" s="6"/>
      <c r="K56" s="2">
        <f t="shared" si="3"/>
        <v>5.3999999999999977</v>
      </c>
      <c r="L56" s="2">
        <f t="shared" si="2"/>
        <v>1.7137119999999995</v>
      </c>
    </row>
    <row r="57" spans="3:12" s="1" customFormat="1" x14ac:dyDescent="0.25">
      <c r="K57" s="2">
        <f t="shared" si="3"/>
        <v>5.4999999999999973</v>
      </c>
      <c r="L57" s="2">
        <f t="shared" si="2"/>
        <v>1.7293499999999993</v>
      </c>
    </row>
    <row r="58" spans="3:12" s="1" customFormat="1" x14ac:dyDescent="0.25">
      <c r="K58" s="2">
        <f t="shared" si="3"/>
        <v>5.599999999999997</v>
      </c>
      <c r="L58" s="2">
        <f t="shared" si="2"/>
        <v>1.7439519999999997</v>
      </c>
    </row>
    <row r="59" spans="3:12" s="1" customFormat="1" x14ac:dyDescent="0.25">
      <c r="K59" s="2">
        <f t="shared" si="3"/>
        <v>5.6999999999999966</v>
      </c>
      <c r="L59" s="2">
        <f t="shared" si="2"/>
        <v>1.7575179999999997</v>
      </c>
    </row>
    <row r="60" spans="3:12" s="1" customFormat="1" x14ac:dyDescent="0.25">
      <c r="K60" s="2">
        <f t="shared" si="3"/>
        <v>5.7999999999999963</v>
      </c>
      <c r="L60" s="2">
        <f t="shared" si="2"/>
        <v>1.7700479999999996</v>
      </c>
    </row>
    <row r="61" spans="3:12" s="1" customFormat="1" x14ac:dyDescent="0.25">
      <c r="K61" s="2">
        <f t="shared" si="3"/>
        <v>5.8999999999999959</v>
      </c>
      <c r="L61" s="2">
        <f t="shared" si="2"/>
        <v>1.7815419999999997</v>
      </c>
    </row>
    <row r="62" spans="3:12" s="1" customFormat="1" x14ac:dyDescent="0.25">
      <c r="K62" s="3">
        <f t="shared" si="3"/>
        <v>5.9999999999999956</v>
      </c>
      <c r="L62" s="3">
        <f t="shared" si="2"/>
        <v>1.7919999999999996</v>
      </c>
    </row>
    <row r="63" spans="3:12" s="1" customFormat="1" x14ac:dyDescent="0.25">
      <c r="K63" s="6"/>
    </row>
    <row r="64" spans="3:12" s="1" customFormat="1" x14ac:dyDescent="0.25">
      <c r="K64" s="6"/>
    </row>
    <row r="65" spans="11:11" s="1" customFormat="1" x14ac:dyDescent="0.25">
      <c r="K65" s="6"/>
    </row>
    <row r="66" spans="11:11" s="1" customFormat="1" x14ac:dyDescent="0.25">
      <c r="K66" s="6"/>
    </row>
    <row r="67" spans="11:11" s="1" customFormat="1" x14ac:dyDescent="0.25">
      <c r="K67" s="6"/>
    </row>
    <row r="68" spans="11:11" s="1" customFormat="1" x14ac:dyDescent="0.25">
      <c r="K68" s="6"/>
    </row>
    <row r="69" spans="11:11" s="1" customFormat="1" x14ac:dyDescent="0.25">
      <c r="K69" s="6"/>
    </row>
    <row r="70" spans="11:11" s="1" customFormat="1" x14ac:dyDescent="0.25"/>
    <row r="71" spans="11:11" s="1" customFormat="1" x14ac:dyDescent="0.25"/>
    <row r="72" spans="11:11" s="1" customFormat="1" x14ac:dyDescent="0.25"/>
    <row r="73" spans="11:11" s="1" customFormat="1" x14ac:dyDescent="0.25"/>
  </sheetData>
  <mergeCells count="6">
    <mergeCell ref="B2:D2"/>
    <mergeCell ref="B4:D4"/>
    <mergeCell ref="J2:L2"/>
    <mergeCell ref="J4:L4"/>
    <mergeCell ref="T2:V2"/>
    <mergeCell ref="T4:V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Mahasiswa</dc:creator>
  <cp:lastModifiedBy>Mahasiswa</cp:lastModifiedBy>
  <dcterms:created xsi:type="dcterms:W3CDTF">2026-10-16T07:42:44Z</dcterms:created>
  <dcterms:modified xsi:type="dcterms:W3CDTF">2026-10-16T09:06:47Z</dcterms:modified>
</cp:coreProperties>
</file>