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etnum\"/>
    </mc:Choice>
  </mc:AlternateContent>
  <xr:revisionPtr revIDLastSave="0" documentId="8_{C75BD65A-C5FA-483A-9414-4A0E1DEA8B81}" xr6:coauthVersionLast="47" xr6:coauthVersionMax="47" xr10:uidLastSave="{00000000-0000-0000-0000-000000000000}"/>
  <bookViews>
    <workbookView xWindow="-108" yWindow="-108" windowWidth="23256" windowHeight="12456" xr2:uid="{965EB4D9-D3CF-4D1A-922C-B1E355D1B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Z4" i="1" s="1"/>
  <c r="AX3" i="1"/>
  <c r="AZ3" i="1" s="1"/>
  <c r="AW4" i="1"/>
  <c r="AY4" i="1" s="1"/>
  <c r="AV4" i="1"/>
  <c r="AU5" i="1" s="1"/>
  <c r="AV3" i="1"/>
  <c r="AI3" i="1"/>
  <c r="W3" i="1"/>
  <c r="X3" i="1" s="1"/>
  <c r="V3" i="1"/>
  <c r="I3" i="1"/>
  <c r="H3" i="1"/>
  <c r="Y3" i="1" l="1"/>
  <c r="AB3" i="1"/>
  <c r="Z3" i="1"/>
  <c r="AV5" i="1"/>
  <c r="AX5" i="1"/>
  <c r="AZ5" i="1" s="1"/>
  <c r="AU6" i="1"/>
  <c r="AW5" i="1"/>
  <c r="AY5" i="1" s="1"/>
  <c r="AM3" i="1"/>
  <c r="AK3" i="1"/>
  <c r="AJ3" i="1"/>
  <c r="AI4" i="1" s="1"/>
  <c r="J3" i="1"/>
  <c r="K3" i="1" s="1"/>
  <c r="M3" i="1"/>
  <c r="U4" i="1" l="1"/>
  <c r="W4" i="1" s="1"/>
  <c r="T4" i="1"/>
  <c r="V4" i="1" s="1"/>
  <c r="AW6" i="1"/>
  <c r="AY6" i="1" s="1"/>
  <c r="AX6" i="1"/>
  <c r="AZ6" i="1" s="1"/>
  <c r="AV6" i="1"/>
  <c r="AU7" i="1"/>
  <c r="AJ4" i="1"/>
  <c r="AK4" i="1"/>
  <c r="AI5" i="1"/>
  <c r="AL4" i="1"/>
  <c r="AM4" i="1"/>
  <c r="F4" i="1"/>
  <c r="G4" i="1"/>
  <c r="AW7" i="1" l="1"/>
  <c r="AY7" i="1" s="1"/>
  <c r="AX7" i="1"/>
  <c r="AZ7" i="1" s="1"/>
  <c r="AV7" i="1"/>
  <c r="AU8" i="1" s="1"/>
  <c r="X4" i="1"/>
  <c r="AJ5" i="1"/>
  <c r="AK5" i="1"/>
  <c r="AI6" i="1"/>
  <c r="AL5" i="1"/>
  <c r="AM5" i="1"/>
  <c r="H4" i="1"/>
  <c r="I4" i="1"/>
  <c r="AV8" i="1" l="1"/>
  <c r="AU9" i="1" s="1"/>
  <c r="AW8" i="1"/>
  <c r="AY8" i="1" s="1"/>
  <c r="AX8" i="1"/>
  <c r="AZ8" i="1" s="1"/>
  <c r="Y4" i="1"/>
  <c r="Z4" i="1" s="1"/>
  <c r="AB4" i="1"/>
  <c r="AA4" i="1"/>
  <c r="AJ6" i="1"/>
  <c r="AI7" i="1" s="1"/>
  <c r="AK6" i="1"/>
  <c r="AL6" i="1"/>
  <c r="AM6" i="1"/>
  <c r="L4" i="1"/>
  <c r="M4" i="1"/>
  <c r="J4" i="1"/>
  <c r="K4" i="1" s="1"/>
  <c r="AV9" i="1" l="1"/>
  <c r="AU10" i="1"/>
  <c r="AW9" i="1"/>
  <c r="AY9" i="1" s="1"/>
  <c r="AX9" i="1"/>
  <c r="AZ9" i="1" s="1"/>
  <c r="U5" i="1"/>
  <c r="W5" i="1" s="1"/>
  <c r="T5" i="1"/>
  <c r="AK7" i="1"/>
  <c r="AJ7" i="1"/>
  <c r="AL7" i="1"/>
  <c r="AM7" i="1"/>
  <c r="F5" i="1"/>
  <c r="G5" i="1"/>
  <c r="V5" i="1" l="1"/>
  <c r="X5" i="1"/>
  <c r="AV10" i="1"/>
  <c r="AW10" i="1"/>
  <c r="AY10" i="1" s="1"/>
  <c r="AX10" i="1"/>
  <c r="AZ10" i="1" s="1"/>
  <c r="H5" i="1"/>
  <c r="I5" i="1"/>
  <c r="Y5" i="1" l="1"/>
  <c r="Z5" i="1" s="1"/>
  <c r="AB5" i="1"/>
  <c r="AA5" i="1"/>
  <c r="L5" i="1"/>
  <c r="M5" i="1"/>
  <c r="J5" i="1"/>
  <c r="K5" i="1" s="1"/>
  <c r="T6" i="1" l="1"/>
  <c r="V6" i="1" s="1"/>
  <c r="X6" i="1" s="1"/>
  <c r="U6" i="1"/>
  <c r="W6" i="1" s="1"/>
  <c r="G6" i="1"/>
  <c r="F6" i="1"/>
  <c r="Y6" i="1" l="1"/>
  <c r="Z6" i="1" s="1"/>
  <c r="AA6" i="1"/>
  <c r="AB6" i="1"/>
  <c r="I6" i="1"/>
  <c r="H6" i="1"/>
  <c r="T7" i="1" l="1"/>
  <c r="V7" i="1" s="1"/>
  <c r="U7" i="1"/>
  <c r="W7" i="1" s="1"/>
  <c r="M6" i="1"/>
  <c r="L6" i="1"/>
  <c r="J6" i="1"/>
  <c r="K6" i="1" s="1"/>
  <c r="X7" i="1" l="1"/>
  <c r="F7" i="1"/>
  <c r="G7" i="1"/>
  <c r="Y7" i="1" l="1"/>
  <c r="Z7" i="1" s="1"/>
  <c r="AA7" i="1"/>
  <c r="AB7" i="1"/>
  <c r="H7" i="1"/>
  <c r="I7" i="1"/>
  <c r="T8" i="1" l="1"/>
  <c r="V8" i="1" s="1"/>
  <c r="U8" i="1"/>
  <c r="W8" i="1" s="1"/>
  <c r="M7" i="1"/>
  <c r="J7" i="1"/>
  <c r="K7" i="1" s="1"/>
  <c r="L7" i="1"/>
  <c r="X8" i="1" l="1"/>
  <c r="F8" i="1"/>
  <c r="G8" i="1"/>
  <c r="Y8" i="1" l="1"/>
  <c r="Z8" i="1" s="1"/>
  <c r="AB8" i="1"/>
  <c r="AA8" i="1"/>
  <c r="I8" i="1"/>
  <c r="H8" i="1"/>
  <c r="T9" i="1" l="1"/>
  <c r="V9" i="1" s="1"/>
  <c r="U9" i="1"/>
  <c r="W9" i="1" s="1"/>
  <c r="J8" i="1"/>
  <c r="K8" i="1" s="1"/>
  <c r="L8" i="1"/>
  <c r="M8" i="1"/>
  <c r="X9" i="1" l="1"/>
  <c r="F9" i="1"/>
  <c r="G9" i="1"/>
  <c r="Y9" i="1" l="1"/>
  <c r="Z9" i="1" s="1"/>
  <c r="AB9" i="1"/>
  <c r="AA9" i="1"/>
  <c r="H9" i="1"/>
  <c r="I9" i="1"/>
  <c r="T10" i="1" l="1"/>
  <c r="V10" i="1" s="1"/>
  <c r="U10" i="1"/>
  <c r="W10" i="1" s="1"/>
  <c r="X10" i="1" s="1"/>
  <c r="J9" i="1"/>
  <c r="K9" i="1" s="1"/>
  <c r="M9" i="1"/>
  <c r="L9" i="1"/>
  <c r="Y10" i="1" l="1"/>
  <c r="Z10" i="1" s="1"/>
  <c r="AA10" i="1"/>
  <c r="AB10" i="1"/>
  <c r="G10" i="1"/>
  <c r="F10" i="1"/>
  <c r="U11" i="1" l="1"/>
  <c r="W11" i="1" s="1"/>
  <c r="T11" i="1"/>
  <c r="V11" i="1" s="1"/>
  <c r="X11" i="1" s="1"/>
  <c r="I10" i="1"/>
  <c r="H10" i="1"/>
  <c r="Y11" i="1" l="1"/>
  <c r="Z11" i="1" s="1"/>
  <c r="AB11" i="1"/>
  <c r="AA11" i="1"/>
  <c r="L10" i="1"/>
  <c r="M10" i="1"/>
  <c r="J10" i="1"/>
  <c r="K10" i="1" s="1"/>
  <c r="T12" i="1" l="1"/>
  <c r="V12" i="1" s="1"/>
  <c r="U12" i="1"/>
  <c r="W12" i="1" s="1"/>
  <c r="G11" i="1"/>
  <c r="F11" i="1"/>
  <c r="X12" i="1" l="1"/>
  <c r="I11" i="1"/>
  <c r="H11" i="1"/>
  <c r="Y12" i="1" l="1"/>
  <c r="Z12" i="1" s="1"/>
  <c r="AB12" i="1"/>
  <c r="AA12" i="1"/>
  <c r="J11" i="1"/>
  <c r="K11" i="1" s="1"/>
  <c r="M11" i="1"/>
  <c r="L11" i="1"/>
  <c r="T13" i="1" l="1"/>
  <c r="U13" i="1"/>
  <c r="W13" i="1" s="1"/>
  <c r="F12" i="1"/>
  <c r="G12" i="1"/>
  <c r="V13" i="1" l="1"/>
  <c r="X13" i="1"/>
  <c r="I12" i="1"/>
  <c r="H12" i="1"/>
  <c r="Y13" i="1" l="1"/>
  <c r="AB13" i="1"/>
  <c r="AA13" i="1"/>
  <c r="Z13" i="1"/>
  <c r="M12" i="1"/>
  <c r="L12" i="1"/>
  <c r="J12" i="1"/>
  <c r="K12" i="1" s="1"/>
  <c r="G13" i="1" l="1"/>
  <c r="F13" i="1"/>
  <c r="I13" i="1" l="1"/>
  <c r="H13" i="1"/>
  <c r="L13" i="1" l="1"/>
  <c r="M13" i="1"/>
  <c r="J13" i="1"/>
  <c r="K13" i="1" s="1"/>
  <c r="F14" i="1" l="1"/>
  <c r="G14" i="1"/>
  <c r="I14" i="1" l="1"/>
  <c r="H14" i="1"/>
  <c r="J14" i="1" l="1"/>
  <c r="K14" i="1" s="1"/>
  <c r="M14" i="1"/>
  <c r="L14" i="1"/>
  <c r="G15" i="1" l="1"/>
  <c r="F15" i="1"/>
  <c r="H15" i="1" l="1"/>
  <c r="I15" i="1"/>
  <c r="M15" i="1" l="1"/>
  <c r="J15" i="1"/>
  <c r="K15" i="1" s="1"/>
  <c r="L15" i="1"/>
  <c r="G16" i="1" l="1"/>
  <c r="F16" i="1"/>
  <c r="I16" i="1" l="1"/>
  <c r="H16" i="1"/>
  <c r="J16" i="1" l="1"/>
  <c r="K16" i="1" s="1"/>
  <c r="M16" i="1"/>
  <c r="L16" i="1"/>
  <c r="G17" i="1" l="1"/>
  <c r="F17" i="1"/>
  <c r="H17" i="1" l="1"/>
  <c r="I17" i="1"/>
  <c r="J17" i="1" l="1"/>
  <c r="K17" i="1" s="1"/>
  <c r="L17" i="1"/>
  <c r="M17" i="1"/>
  <c r="G18" i="1" l="1"/>
  <c r="F18" i="1"/>
  <c r="H18" i="1" l="1"/>
  <c r="I18" i="1"/>
  <c r="J18" i="1" l="1"/>
  <c r="K18" i="1" s="1"/>
  <c r="L18" i="1"/>
  <c r="M18" i="1"/>
  <c r="G19" i="1" l="1"/>
  <c r="F19" i="1"/>
  <c r="H19" i="1" l="1"/>
  <c r="I19" i="1"/>
  <c r="J19" i="1" l="1"/>
  <c r="K19" i="1" s="1"/>
  <c r="M19" i="1"/>
  <c r="L19" i="1"/>
  <c r="F20" i="1" l="1"/>
  <c r="G20" i="1"/>
  <c r="H20" i="1" l="1"/>
  <c r="I20" i="1"/>
  <c r="L20" i="1" l="1"/>
  <c r="M20" i="1"/>
  <c r="J20" i="1"/>
  <c r="K20" i="1" s="1"/>
  <c r="G21" i="1" l="1"/>
  <c r="F21" i="1"/>
  <c r="I21" i="1" l="1"/>
  <c r="H21" i="1"/>
  <c r="L21" i="1" l="1"/>
  <c r="J21" i="1"/>
  <c r="K21" i="1" s="1"/>
  <c r="M21" i="1"/>
  <c r="G22" i="1" l="1"/>
  <c r="F22" i="1"/>
  <c r="I22" i="1" l="1"/>
  <c r="H22" i="1"/>
  <c r="J22" i="1" l="1"/>
  <c r="K22" i="1" s="1"/>
  <c r="L22" i="1"/>
  <c r="M22" i="1"/>
  <c r="G23" i="1" l="1"/>
  <c r="F23" i="1"/>
  <c r="H23" i="1" l="1"/>
  <c r="I23" i="1"/>
  <c r="L23" i="1" l="1"/>
  <c r="J23" i="1"/>
  <c r="K23" i="1" s="1"/>
  <c r="M23" i="1"/>
  <c r="F24" i="1" l="1"/>
  <c r="G24" i="1"/>
  <c r="H24" i="1" l="1"/>
  <c r="I24" i="1"/>
  <c r="J24" i="1" l="1"/>
  <c r="K24" i="1" s="1"/>
  <c r="L24" i="1"/>
  <c r="M24" i="1"/>
  <c r="F25" i="1" l="1"/>
  <c r="G25" i="1"/>
  <c r="I25" i="1" l="1"/>
  <c r="H25" i="1"/>
  <c r="J25" i="1" l="1"/>
  <c r="K25" i="1" s="1"/>
  <c r="L25" i="1"/>
  <c r="M25" i="1"/>
  <c r="F26" i="1" l="1"/>
  <c r="G26" i="1"/>
  <c r="I26" i="1" l="1"/>
  <c r="H26" i="1"/>
  <c r="M26" i="1" l="1"/>
  <c r="L26" i="1"/>
  <c r="J26" i="1"/>
  <c r="K26" i="1" s="1"/>
  <c r="F27" i="1" l="1"/>
  <c r="G27" i="1"/>
  <c r="H27" i="1" l="1"/>
  <c r="I27" i="1"/>
  <c r="J27" i="1" l="1"/>
  <c r="K27" i="1" s="1"/>
  <c r="M27" i="1"/>
  <c r="L27" i="1"/>
  <c r="G28" i="1" l="1"/>
  <c r="F28" i="1"/>
  <c r="H28" i="1" l="1"/>
  <c r="I28" i="1"/>
  <c r="L28" i="1" l="1"/>
  <c r="M28" i="1"/>
  <c r="J28" i="1"/>
  <c r="K28" i="1" s="1"/>
  <c r="F29" i="1" l="1"/>
  <c r="G29" i="1"/>
  <c r="I29" i="1" l="1"/>
  <c r="H29" i="1"/>
  <c r="L29" i="1" l="1"/>
  <c r="J29" i="1"/>
  <c r="K29" i="1" s="1"/>
  <c r="M29" i="1"/>
  <c r="G30" i="1" l="1"/>
  <c r="F30" i="1"/>
  <c r="H30" i="1" l="1"/>
  <c r="I30" i="1"/>
  <c r="L30" i="1" l="1"/>
  <c r="M30" i="1"/>
  <c r="J30" i="1"/>
  <c r="K30" i="1" s="1"/>
  <c r="F31" i="1" l="1"/>
  <c r="G31" i="1"/>
  <c r="I31" i="1" l="1"/>
  <c r="H31" i="1"/>
  <c r="M31" i="1" l="1"/>
  <c r="J31" i="1"/>
  <c r="K31" i="1" s="1"/>
  <c r="L31" i="1"/>
</calcChain>
</file>

<file path=xl/sharedStrings.xml><?xml version="1.0" encoding="utf-8"?>
<sst xmlns="http://schemas.openxmlformats.org/spreadsheetml/2006/main" count="51" uniqueCount="26">
  <si>
    <t>Metode Bagi Dua</t>
  </si>
  <si>
    <t>f(x) = x^2-3</t>
  </si>
  <si>
    <t xml:space="preserve">S.Eksak </t>
  </si>
  <si>
    <t>a</t>
  </si>
  <si>
    <t>b</t>
  </si>
  <si>
    <t>x_n</t>
  </si>
  <si>
    <t>f(a)</t>
  </si>
  <si>
    <t>f(x_n)</t>
  </si>
  <si>
    <t>(1 , 2)</t>
  </si>
  <si>
    <t xml:space="preserve">interval  </t>
  </si>
  <si>
    <t>f(a).f(x_n)</t>
  </si>
  <si>
    <t xml:space="preserve">Iterasi </t>
  </si>
  <si>
    <t>G hampiran</t>
  </si>
  <si>
    <t>G Biasa</t>
  </si>
  <si>
    <t>Metode Posisi Palsu</t>
  </si>
  <si>
    <t>Iterasi</t>
  </si>
  <si>
    <t>f(b)</t>
  </si>
  <si>
    <t>f'(x) = 2x</t>
  </si>
  <si>
    <t xml:space="preserve">x_0 </t>
  </si>
  <si>
    <t>S.Eksak</t>
  </si>
  <si>
    <t>Metode Newton</t>
  </si>
  <si>
    <t>f'(x_n)</t>
  </si>
  <si>
    <t>Metode Secant</t>
  </si>
  <si>
    <t>iterasi</t>
  </si>
  <si>
    <t>n-1</t>
  </si>
  <si>
    <t>n+1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</si>
</sst>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3" applyBorder="1" applyAlignment="1">
      <alignment horizontal="center"/>
    </xf>
    <xf numFmtId="0" fontId="0" fillId="0" borderId="1" xfId="0" applyBorder="1"/>
    <xf numFmtId="0" fontId="1" fillId="4" borderId="1" xfId="4" applyBorder="1" applyAlignment="1">
      <alignment horizontal="center"/>
    </xf>
    <xf numFmtId="0" fontId="1" fillId="4" borderId="1" xfId="4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2" borderId="1" xfId="2" applyFont="1" applyBorder="1" applyAlignment="1">
      <alignment horizontal="center"/>
    </xf>
    <xf numFmtId="0" fontId="0" fillId="0" borderId="9" xfId="0" applyBorder="1"/>
    <xf numFmtId="0" fontId="0" fillId="0" borderId="13" xfId="0" applyBorder="1"/>
    <xf numFmtId="0" fontId="1" fillId="3" borderId="1" xfId="3" applyBorder="1"/>
    <xf numFmtId="0" fontId="0" fillId="0" borderId="4" xfId="0" applyBorder="1"/>
    <xf numFmtId="0" fontId="0" fillId="0" borderId="5" xfId="0" applyBorder="1"/>
    <xf numFmtId="164" fontId="0" fillId="0" borderId="1" xfId="0" applyNumberFormat="1" applyBorder="1"/>
    <xf numFmtId="0" fontId="0" fillId="0" borderId="11" xfId="0" applyBorder="1"/>
    <xf numFmtId="0" fontId="0" fillId="0" borderId="12" xfId="0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0" fontId="1" fillId="2" borderId="2" xfId="2" applyFont="1" applyBorder="1" applyAlignment="1">
      <alignment horizontal="center"/>
    </xf>
    <xf numFmtId="0" fontId="1" fillId="2" borderId="8" xfId="2" applyFont="1" applyBorder="1" applyAlignment="1">
      <alignment horizontal="center"/>
    </xf>
    <xf numFmtId="0" fontId="1" fillId="2" borderId="3" xfId="2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5">
    <cellStyle name="20% - Accent4" xfId="4" builtinId="42"/>
    <cellStyle name="40% - Accent2" xfId="3" builtinId="35"/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</a:t>
            </a:r>
            <a:r>
              <a:rPr lang="en-ID" baseline="0"/>
              <a:t> Bagi Dua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8.3808616279652956E-2"/>
          <c:y val="0.15325341624267361"/>
          <c:w val="0.8712939632545931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Sheet1!$H$3:$H$31</c:f>
              <c:numCache>
                <c:formatCode>General</c:formatCode>
                <c:ptCount val="29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1.6875</c:v>
                </c:pt>
                <c:pt idx="4">
                  <c:v>1.71875</c:v>
                </c:pt>
                <c:pt idx="5">
                  <c:v>1.734375</c:v>
                </c:pt>
                <c:pt idx="6">
                  <c:v>1.7265625</c:v>
                </c:pt>
                <c:pt idx="7">
                  <c:v>1.73046875</c:v>
                </c:pt>
                <c:pt idx="8">
                  <c:v>1.732421875</c:v>
                </c:pt>
                <c:pt idx="9">
                  <c:v>1.7314453125</c:v>
                </c:pt>
                <c:pt idx="10">
                  <c:v>1.73193359375</c:v>
                </c:pt>
                <c:pt idx="11">
                  <c:v>1.732177734375</c:v>
                </c:pt>
                <c:pt idx="12">
                  <c:v>1.7320556640625</c:v>
                </c:pt>
                <c:pt idx="13">
                  <c:v>1.73199462890625</c:v>
                </c:pt>
                <c:pt idx="14">
                  <c:v>1.732025146484375</c:v>
                </c:pt>
                <c:pt idx="15">
                  <c:v>1.7320404052734375</c:v>
                </c:pt>
                <c:pt idx="16">
                  <c:v>1.7320480346679688</c:v>
                </c:pt>
                <c:pt idx="17">
                  <c:v>1.7320518493652344</c:v>
                </c:pt>
                <c:pt idx="18">
                  <c:v>1.7320499420166016</c:v>
                </c:pt>
                <c:pt idx="19">
                  <c:v>1.732050895690918</c:v>
                </c:pt>
                <c:pt idx="20">
                  <c:v>1.7320504188537598</c:v>
                </c:pt>
                <c:pt idx="21">
                  <c:v>1.7320506572723389</c:v>
                </c:pt>
                <c:pt idx="22">
                  <c:v>1.7320507764816284</c:v>
                </c:pt>
                <c:pt idx="23">
                  <c:v>1.7320508360862732</c:v>
                </c:pt>
                <c:pt idx="24">
                  <c:v>1.7320508062839508</c:v>
                </c:pt>
                <c:pt idx="25">
                  <c:v>1.732050821185112</c:v>
                </c:pt>
                <c:pt idx="26">
                  <c:v>1.7320508137345314</c:v>
                </c:pt>
                <c:pt idx="27">
                  <c:v>1.7320508100092411</c:v>
                </c:pt>
                <c:pt idx="28">
                  <c:v>1.732050808146596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C-40DD-89BD-EF63D21D1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65599"/>
        <c:axId val="953694735"/>
      </c:scatterChart>
      <c:valAx>
        <c:axId val="118246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94735"/>
        <c:crosses val="autoZero"/>
        <c:crossBetween val="midCat"/>
      </c:valAx>
      <c:valAx>
        <c:axId val="95369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6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Posisi Palsu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Sheet1!$X$2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Sheet1!$X$3:$X$13</c:f>
              <c:numCache>
                <c:formatCode>General</c:formatCode>
                <c:ptCount val="11"/>
                <c:pt idx="0">
                  <c:v>1.6666666666666665</c:v>
                </c:pt>
                <c:pt idx="1">
                  <c:v>1.7272727272727273</c:v>
                </c:pt>
                <c:pt idx="2">
                  <c:v>1.7317073170731707</c:v>
                </c:pt>
                <c:pt idx="3">
                  <c:v>1.7320261437908497</c:v>
                </c:pt>
                <c:pt idx="4">
                  <c:v>1.7320490367775832</c:v>
                </c:pt>
                <c:pt idx="5">
                  <c:v>1.7320506804317222</c:v>
                </c:pt>
                <c:pt idx="6">
                  <c:v>1.73205079844084</c:v>
                </c:pt>
                <c:pt idx="7">
                  <c:v>1.7320508069135137</c:v>
                </c:pt>
                <c:pt idx="8">
                  <c:v>1.7320508075218244</c:v>
                </c:pt>
                <c:pt idx="9">
                  <c:v>1.732050807565499</c:v>
                </c:pt>
                <c:pt idx="10">
                  <c:v>1.7320508075686347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D2-4E69-94FF-002484AD0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99471"/>
        <c:axId val="1182239663"/>
      </c:scatterChart>
      <c:valAx>
        <c:axId val="118249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663"/>
        <c:crosses val="autoZero"/>
        <c:crossBetween val="midCat"/>
      </c:valAx>
      <c:valAx>
        <c:axId val="11822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9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Newton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Sheet1!$AI$2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Sheet1!$AI$3:$AI$7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1.75</c:v>
                </c:pt>
                <c:pt idx="3">
                  <c:v>1.7321428571428572</c:v>
                </c:pt>
                <c:pt idx="4">
                  <c:v>1.7320508100147276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1B-4507-BA15-18C60449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516175"/>
        <c:axId val="1182268943"/>
      </c:scatterChart>
      <c:valAx>
        <c:axId val="11825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8943"/>
        <c:crosses val="autoZero"/>
        <c:crossBetween val="midCat"/>
      </c:valAx>
      <c:valAx>
        <c:axId val="118226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1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Secant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Sheet1!$AU$2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Sheet1!$AU$3:$AU$10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1.6666666666666667</c:v>
                </c:pt>
                <c:pt idx="3">
                  <c:v>1.7272727272727273</c:v>
                </c:pt>
                <c:pt idx="4">
                  <c:v>1.7321428571428572</c:v>
                </c:pt>
                <c:pt idx="5">
                  <c:v>1.7320506804317222</c:v>
                </c:pt>
                <c:pt idx="6">
                  <c:v>1.732050807565499</c:v>
                </c:pt>
                <c:pt idx="7">
                  <c:v>1.7320508075688772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3D-4280-B282-A5C24718D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584959"/>
        <c:axId val="1182245903"/>
      </c:scatterChart>
      <c:valAx>
        <c:axId val="118258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45903"/>
        <c:crosses val="autoZero"/>
        <c:crossBetween val="midCat"/>
      </c:valAx>
      <c:valAx>
        <c:axId val="11822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8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15983</xdr:colOff>
      <xdr:row>34</xdr:row>
      <xdr:rowOff>1048</xdr:rowOff>
    </xdr:from>
    <xdr:to>
      <xdr:col>10</xdr:col>
      <xdr:colOff>848533</xdr:colOff>
      <xdr:row>51</xdr:row>
      <xdr:rowOff>120111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231DA-3FE7-6C07-68E2-776D7D745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</xdr:colOff>
      <xdr:row>15</xdr:row>
      <xdr:rowOff>11865</xdr:rowOff>
    </xdr:from>
    <xdr:to>
      <xdr:col>24</xdr:col>
      <xdr:colOff>376237</xdr:colOff>
      <xdr:row>29</xdr:row>
      <xdr:rowOff>91294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FD2221-7761-5E4B-7BAE-1C29DF5A4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662216</xdr:colOff>
      <xdr:row>10</xdr:row>
      <xdr:rowOff>5737</xdr:rowOff>
    </xdr:from>
    <xdr:to>
      <xdr:col>36</xdr:col>
      <xdr:colOff>595312</xdr:colOff>
      <xdr:row>20</xdr:row>
      <xdr:rowOff>178594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842918-0303-5B7E-7849-18B4D226D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14457</xdr:colOff>
      <xdr:row>12</xdr:row>
      <xdr:rowOff>17008</xdr:rowOff>
    </xdr:from>
    <xdr:to>
      <xdr:col>50</xdr:col>
      <xdr:colOff>280647</xdr:colOff>
      <xdr:row>25</xdr:row>
      <xdr:rowOff>104435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E49D7A-3536-2B45-9D20-E7925A7F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4629-42BF-4A61-BBAC-122049FB8CF8}">
  <dimension ref="A2:AZ31"/>
  <sheetViews>
    <sheetView tabSelected="1" zoomScale="65" zoomScaleNormal="65" workbookViewId="0">
      <selection activeCell="B14" sqref="B14"/>
    </sheetView>
  </sheetViews>
  <sheetFormatPr defaultRowHeight="14.4" x14ac:dyDescent="0.3"/>
  <cols>
    <col min="2" max="2" width="10.44140625" customWidth="1"/>
    <col min="5" max="5" width="13.6640625" customWidth="1"/>
    <col min="6" max="6" width="12.44140625" customWidth="1"/>
    <col min="7" max="7" width="11.88671875" customWidth="1"/>
    <col min="8" max="8" width="11" customWidth="1"/>
    <col min="9" max="9" width="16.6640625" customWidth="1"/>
    <col min="10" max="10" width="11.5546875" customWidth="1"/>
    <col min="11" max="11" width="16.88671875" customWidth="1"/>
    <col min="12" max="12" width="14.5546875" customWidth="1"/>
    <col min="13" max="13" width="18.109375" customWidth="1"/>
    <col min="16" max="16" width="12.5546875" customWidth="1"/>
    <col min="17" max="17" width="6.5546875" customWidth="1"/>
    <col min="19" max="21" width="9.33203125" bestFit="1" customWidth="1"/>
    <col min="22" max="22" width="12.6640625" bestFit="1" customWidth="1"/>
    <col min="23" max="23" width="9.33203125" bestFit="1" customWidth="1"/>
    <col min="24" max="24" width="13.109375" customWidth="1"/>
    <col min="25" max="25" width="10.6640625" customWidth="1"/>
    <col min="26" max="26" width="13.5546875" customWidth="1"/>
    <col min="27" max="27" width="12.5546875" customWidth="1"/>
    <col min="28" max="28" width="12.109375" customWidth="1"/>
    <col min="30" max="30" width="10" customWidth="1"/>
    <col min="38" max="38" width="11.44140625" customWidth="1"/>
    <col min="39" max="39" width="11" customWidth="1"/>
    <col min="46" max="47" width="9.33203125" bestFit="1" customWidth="1"/>
    <col min="48" max="48" width="12.6640625" bestFit="1" customWidth="1"/>
    <col min="49" max="49" width="11.88671875" customWidth="1"/>
    <col min="50" max="50" width="11.109375" customWidth="1"/>
  </cols>
  <sheetData>
    <row r="2" spans="1:52" x14ac:dyDescent="0.3">
      <c r="A2" s="23" t="s">
        <v>0</v>
      </c>
      <c r="B2" s="24"/>
      <c r="C2" s="24"/>
      <c r="D2" s="24"/>
      <c r="E2" s="12" t="s">
        <v>11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10</v>
      </c>
      <c r="L2" s="12" t="s">
        <v>12</v>
      </c>
      <c r="M2" s="12" t="s">
        <v>13</v>
      </c>
      <c r="P2" s="23" t="s">
        <v>14</v>
      </c>
      <c r="Q2" s="24"/>
      <c r="R2" s="25"/>
      <c r="S2" s="12" t="s">
        <v>15</v>
      </c>
      <c r="T2" s="12" t="s">
        <v>3</v>
      </c>
      <c r="U2" s="12" t="s">
        <v>4</v>
      </c>
      <c r="V2" s="12" t="s">
        <v>6</v>
      </c>
      <c r="W2" s="12" t="s">
        <v>16</v>
      </c>
      <c r="X2" s="12" t="s">
        <v>5</v>
      </c>
      <c r="Y2" s="12" t="s">
        <v>7</v>
      </c>
      <c r="Z2" s="12" t="s">
        <v>10</v>
      </c>
      <c r="AA2" s="12" t="s">
        <v>12</v>
      </c>
      <c r="AB2" s="12" t="s">
        <v>13</v>
      </c>
      <c r="AD2" s="23" t="s">
        <v>20</v>
      </c>
      <c r="AE2" s="24"/>
      <c r="AF2" s="25"/>
      <c r="AH2" s="12" t="s">
        <v>15</v>
      </c>
      <c r="AI2" s="12" t="s">
        <v>5</v>
      </c>
      <c r="AJ2" s="12" t="s">
        <v>7</v>
      </c>
      <c r="AK2" s="12" t="s">
        <v>21</v>
      </c>
      <c r="AL2" s="12" t="s">
        <v>12</v>
      </c>
      <c r="AM2" s="12" t="s">
        <v>13</v>
      </c>
      <c r="AO2" s="23" t="s">
        <v>22</v>
      </c>
      <c r="AP2" s="24"/>
      <c r="AQ2" s="25"/>
      <c r="AS2" s="12"/>
      <c r="AT2" s="12" t="s">
        <v>23</v>
      </c>
      <c r="AU2" s="12" t="s">
        <v>5</v>
      </c>
      <c r="AV2" s="12" t="s">
        <v>7</v>
      </c>
      <c r="AW2" s="12" t="s">
        <v>12</v>
      </c>
      <c r="AX2" s="12" t="s">
        <v>13</v>
      </c>
      <c r="AY2" s="3"/>
      <c r="AZ2" s="3"/>
    </row>
    <row r="3" spans="1:52" x14ac:dyDescent="0.3">
      <c r="A3" s="28" t="s">
        <v>1</v>
      </c>
      <c r="B3" s="26"/>
      <c r="C3" s="26"/>
      <c r="D3" s="26"/>
      <c r="E3" s="1">
        <v>0</v>
      </c>
      <c r="F3" s="1">
        <v>1</v>
      </c>
      <c r="G3" s="1">
        <v>2</v>
      </c>
      <c r="H3" s="2">
        <f xml:space="preserve"> (F3+G3) /2</f>
        <v>1.5</v>
      </c>
      <c r="I3" s="1">
        <f>F3^2-3</f>
        <v>-2</v>
      </c>
      <c r="J3" s="1">
        <f>(H3)^2-3</f>
        <v>-0.75</v>
      </c>
      <c r="K3" s="1">
        <f>I3*J3</f>
        <v>1.5</v>
      </c>
      <c r="L3" s="3"/>
      <c r="M3" s="3">
        <f>ABS(($C$5-H3)/$C$5)</f>
        <v>0.13394919168591224</v>
      </c>
      <c r="P3" s="29" t="s">
        <v>1</v>
      </c>
      <c r="Q3" s="27"/>
      <c r="R3" s="27"/>
      <c r="S3" s="1">
        <v>0</v>
      </c>
      <c r="T3" s="1">
        <v>1</v>
      </c>
      <c r="U3" s="1">
        <v>2</v>
      </c>
      <c r="V3" s="1">
        <f>(T3^2)-3</f>
        <v>-2</v>
      </c>
      <c r="W3" s="1">
        <f>(U3^2)-3</f>
        <v>1</v>
      </c>
      <c r="X3" s="2">
        <f>T3-((U3-T3)/(W3-V3))*V3</f>
        <v>1.6666666666666665</v>
      </c>
      <c r="Y3" s="1">
        <f>(X3^2)-3</f>
        <v>-0.22222222222222276</v>
      </c>
      <c r="Z3" s="1">
        <f>V3*Y3</f>
        <v>0.44444444444444553</v>
      </c>
      <c r="AA3" s="1"/>
      <c r="AB3" s="1">
        <f>ABS(($Q$5-X3)/$Q$5)</f>
        <v>3.7721324095458121E-2</v>
      </c>
      <c r="AD3" s="3" t="s">
        <v>1</v>
      </c>
      <c r="AE3" s="6"/>
      <c r="AF3" s="7"/>
      <c r="AH3" s="1">
        <v>0</v>
      </c>
      <c r="AI3" s="2">
        <f>AE5</f>
        <v>1</v>
      </c>
      <c r="AJ3" s="1">
        <f>AI3^2-3</f>
        <v>-2</v>
      </c>
      <c r="AK3" s="1">
        <f>2*AI3</f>
        <v>2</v>
      </c>
      <c r="AL3" s="3"/>
      <c r="AM3" s="18">
        <f>ABS(($AE$6-AI3)/$AE$6)</f>
        <v>0.42263279445727481</v>
      </c>
      <c r="AO3" s="3" t="s">
        <v>1</v>
      </c>
      <c r="AP3" s="19"/>
      <c r="AQ3" s="20"/>
      <c r="AS3" s="1" t="s">
        <v>24</v>
      </c>
      <c r="AT3" s="1">
        <v>0</v>
      </c>
      <c r="AU3" s="2">
        <v>1</v>
      </c>
      <c r="AV3" s="1">
        <f>AU3^2-3</f>
        <v>-2</v>
      </c>
      <c r="AW3" s="3"/>
      <c r="AX3" s="3">
        <f>ABS(($AP$4-AU3)/$AP$4)</f>
        <v>0.42263279445727481</v>
      </c>
      <c r="AY3" s="21"/>
      <c r="AZ3" s="21">
        <f>AX3</f>
        <v>0.42263279445727481</v>
      </c>
    </row>
    <row r="4" spans="1:52" x14ac:dyDescent="0.3">
      <c r="A4" s="6"/>
      <c r="B4" s="7" t="s">
        <v>9</v>
      </c>
      <c r="C4" s="6" t="s">
        <v>8</v>
      </c>
      <c r="D4" s="10"/>
      <c r="E4" s="1">
        <v>1</v>
      </c>
      <c r="F4" s="1">
        <f>IF(K3&lt;0,F3,H3)</f>
        <v>1.5</v>
      </c>
      <c r="G4" s="1">
        <f>IF(K3&gt;0,G3,H3)</f>
        <v>2</v>
      </c>
      <c r="H4" s="2">
        <f xml:space="preserve"> (F4+G4) /2</f>
        <v>1.75</v>
      </c>
      <c r="I4" s="1">
        <f>F4^2-3</f>
        <v>-0.75</v>
      </c>
      <c r="J4" s="1">
        <f>(H4)^2-3</f>
        <v>6.25E-2</v>
      </c>
      <c r="K4" s="1">
        <f>I4*J4</f>
        <v>-4.6875E-2</v>
      </c>
      <c r="L4" s="3">
        <f>ABS((H4-H3)/H4)</f>
        <v>0.14285714285714285</v>
      </c>
      <c r="M4" s="3">
        <f t="shared" ref="M4:M20" si="0">ABS(($C$5-H4)/$C$5)</f>
        <v>1.0392609699769063E-2</v>
      </c>
      <c r="P4" s="14" t="s">
        <v>9</v>
      </c>
      <c r="Q4" s="26" t="s">
        <v>8</v>
      </c>
      <c r="R4" s="26"/>
      <c r="S4" s="1">
        <v>1</v>
      </c>
      <c r="T4" s="1">
        <f>IF(Z3&lt;0,T3,X3)</f>
        <v>1.6666666666666665</v>
      </c>
      <c r="U4" s="1">
        <f>IF(Z3&gt;0,U3,X3)</f>
        <v>2</v>
      </c>
      <c r="V4" s="1">
        <f>(T4^2)-3</f>
        <v>-0.22222222222222276</v>
      </c>
      <c r="W4" s="1">
        <f>(U4^2)-3</f>
        <v>1</v>
      </c>
      <c r="X4" s="2">
        <f>T4-((U4-T4)/(W4-V4))*V4</f>
        <v>1.7272727272727273</v>
      </c>
      <c r="Y4" s="1">
        <f>(X4^2)-3</f>
        <v>-1.6528925619834656E-2</v>
      </c>
      <c r="Z4" s="1">
        <f>V4*Y4</f>
        <v>3.6730945821854882E-3</v>
      </c>
      <c r="AA4" s="1">
        <f>ABS((X4-X3)/X4)</f>
        <v>3.5087719298245709E-2</v>
      </c>
      <c r="AB4" s="1">
        <f t="shared" ref="AB4:AB13" si="1">ABS(($Q$5-X4)/$Q$5)</f>
        <v>2.7293722443837709E-3</v>
      </c>
      <c r="AD4" s="3" t="s">
        <v>17</v>
      </c>
      <c r="AE4" s="16"/>
      <c r="AF4" s="17"/>
      <c r="AH4" s="1">
        <v>1</v>
      </c>
      <c r="AI4" s="2">
        <f>AI3-(AJ3/AK3)</f>
        <v>2</v>
      </c>
      <c r="AJ4" s="1">
        <f>AI4^2-3</f>
        <v>1</v>
      </c>
      <c r="AK4" s="1">
        <f>2*AI4</f>
        <v>4</v>
      </c>
      <c r="AL4" s="18">
        <f>(AI4-AI3)/AI4</f>
        <v>0.5</v>
      </c>
      <c r="AM4" s="18">
        <f t="shared" ref="AM4:AM7" si="2">ABS(($AE$6-AI4)/$AE$6)</f>
        <v>0.15473441108545036</v>
      </c>
      <c r="AO4" s="3" t="s">
        <v>19</v>
      </c>
      <c r="AP4" s="22">
        <v>1.732</v>
      </c>
      <c r="AQ4" s="22"/>
      <c r="AS4" s="1" t="s">
        <v>24</v>
      </c>
      <c r="AT4" s="1">
        <v>1</v>
      </c>
      <c r="AU4" s="2">
        <v>2</v>
      </c>
      <c r="AV4" s="1">
        <f t="shared" ref="AV4:AV10" si="3">AU4^2-3</f>
        <v>1</v>
      </c>
      <c r="AW4" s="3">
        <f>ABS((AU4-AU3)/AU4)</f>
        <v>0.5</v>
      </c>
      <c r="AX4" s="3">
        <f t="shared" ref="AX4:AX10" si="4">ABS(($AP$4-AU4)/$AP$4)</f>
        <v>0.15473441108545036</v>
      </c>
      <c r="AY4" s="21">
        <f>AW4</f>
        <v>0.5</v>
      </c>
      <c r="AZ4" s="21">
        <f t="shared" ref="AZ4:AZ10" si="5">AX4</f>
        <v>0.15473441108545036</v>
      </c>
    </row>
    <row r="5" spans="1:52" x14ac:dyDescent="0.3">
      <c r="A5" s="8"/>
      <c r="B5" s="9" t="s">
        <v>2</v>
      </c>
      <c r="C5" s="8">
        <v>1.732</v>
      </c>
      <c r="D5" s="11"/>
      <c r="E5" s="1">
        <v>2</v>
      </c>
      <c r="F5" s="1">
        <f t="shared" ref="F5:F20" si="6">IF(K4&lt;0,F4,H4)</f>
        <v>1.5</v>
      </c>
      <c r="G5" s="1">
        <f t="shared" ref="G5:G20" si="7">IF(K4&gt;0,G4,H4)</f>
        <v>1.75</v>
      </c>
      <c r="H5" s="2">
        <f t="shared" ref="H5:H20" si="8" xml:space="preserve"> (F5+G5) /2</f>
        <v>1.625</v>
      </c>
      <c r="I5" s="1">
        <f t="shared" ref="I5:I20" si="9">F5^2-3</f>
        <v>-0.75</v>
      </c>
      <c r="J5" s="1">
        <f t="shared" ref="J5:J20" si="10">(H5)^2-3</f>
        <v>-0.359375</v>
      </c>
      <c r="K5" s="1">
        <f t="shared" ref="K5:K20" si="11">I5*J5</f>
        <v>0.26953125</v>
      </c>
      <c r="L5" s="3">
        <f t="shared" ref="L5:L20" si="12">ABS((H5-H4)/H5)</f>
        <v>7.6923076923076927E-2</v>
      </c>
      <c r="M5" s="3">
        <f t="shared" si="0"/>
        <v>6.1778290993071583E-2</v>
      </c>
      <c r="P5" s="13" t="s">
        <v>2</v>
      </c>
      <c r="Q5" s="27">
        <v>1.732</v>
      </c>
      <c r="R5" s="27"/>
      <c r="S5" s="1">
        <v>2</v>
      </c>
      <c r="T5" s="1">
        <f t="shared" ref="T5:T9" si="13">IF(Z4&lt;0,T4,X4)</f>
        <v>1.7272727272727273</v>
      </c>
      <c r="U5" s="1">
        <f t="shared" ref="U5:U9" si="14">IF(Z4&gt;0,U4,X4)</f>
        <v>2</v>
      </c>
      <c r="V5" s="1">
        <f t="shared" ref="V5:V9" si="15">(T5^2)-3</f>
        <v>-1.6528925619834656E-2</v>
      </c>
      <c r="W5" s="1">
        <f t="shared" ref="W5:W9" si="16">(U5^2)-3</f>
        <v>1</v>
      </c>
      <c r="X5" s="2">
        <f t="shared" ref="X5:X9" si="17">T5-((U5-T5)/(W5-V5))*V5</f>
        <v>1.7317073170731707</v>
      </c>
      <c r="Y5" s="1">
        <f t="shared" ref="Y5:Y9" si="18">(X5^2)-3</f>
        <v>-1.1897679952408424E-3</v>
      </c>
      <c r="Z5" s="1">
        <f t="shared" ref="Z5:Z9" si="19">V5*Y5</f>
        <v>1.9665586698195677E-5</v>
      </c>
      <c r="AA5" s="1">
        <f t="shared" ref="AA5:AA13" si="20">ABS((X5-X4)/X5)</f>
        <v>2.560819462227892E-3</v>
      </c>
      <c r="AB5" s="1">
        <f t="shared" si="1"/>
        <v>1.6898552357348068E-4</v>
      </c>
      <c r="AD5" s="3" t="s">
        <v>18</v>
      </c>
      <c r="AE5" s="22">
        <v>1</v>
      </c>
      <c r="AF5" s="22"/>
      <c r="AH5" s="1">
        <v>2</v>
      </c>
      <c r="AI5" s="2">
        <f>AI4-(AJ4/AK4)</f>
        <v>1.75</v>
      </c>
      <c r="AJ5" s="1">
        <f>AI5^2-3</f>
        <v>6.25E-2</v>
      </c>
      <c r="AK5" s="1">
        <f>2*AI5</f>
        <v>3.5</v>
      </c>
      <c r="AL5" s="18">
        <f t="shared" ref="AL5:AL7" si="21">(AI5-AI4)/AI5</f>
        <v>-0.14285714285714285</v>
      </c>
      <c r="AM5" s="18">
        <f t="shared" si="2"/>
        <v>1.0392609699769063E-2</v>
      </c>
      <c r="AS5" s="1" t="s">
        <v>25</v>
      </c>
      <c r="AT5" s="1">
        <v>2</v>
      </c>
      <c r="AU5" s="2">
        <f>AU4-(((AV4*(AU4-AU3))/(AV4-AV3)))</f>
        <v>1.6666666666666667</v>
      </c>
      <c r="AV5" s="1">
        <f t="shared" si="3"/>
        <v>-0.22222222222222188</v>
      </c>
      <c r="AW5" s="3">
        <f t="shared" ref="AW5:AW10" si="22">ABS((AU5-AU4)/AU5)</f>
        <v>0.19999999999999996</v>
      </c>
      <c r="AX5" s="3">
        <f t="shared" si="4"/>
        <v>3.7721324095457996E-2</v>
      </c>
      <c r="AY5" s="21">
        <f t="shared" ref="AY5:AY10" si="23">AW5</f>
        <v>0.19999999999999996</v>
      </c>
      <c r="AZ5" s="21">
        <f t="shared" si="5"/>
        <v>3.7721324095457996E-2</v>
      </c>
    </row>
    <row r="6" spans="1:52" x14ac:dyDescent="0.3">
      <c r="E6" s="1">
        <v>3</v>
      </c>
      <c r="F6" s="1">
        <f t="shared" si="6"/>
        <v>1.625</v>
      </c>
      <c r="G6" s="1">
        <f t="shared" si="7"/>
        <v>1.75</v>
      </c>
      <c r="H6" s="2">
        <f t="shared" si="8"/>
        <v>1.6875</v>
      </c>
      <c r="I6" s="1">
        <f t="shared" si="9"/>
        <v>-0.359375</v>
      </c>
      <c r="J6" s="1">
        <f t="shared" si="10"/>
        <v>-0.15234375</v>
      </c>
      <c r="K6" s="1">
        <f t="shared" si="11"/>
        <v>5.474853515625E-2</v>
      </c>
      <c r="L6" s="3">
        <f t="shared" si="12"/>
        <v>3.7037037037037035E-2</v>
      </c>
      <c r="M6" s="3">
        <f t="shared" si="0"/>
        <v>2.5692840646651262E-2</v>
      </c>
      <c r="S6" s="1">
        <v>3</v>
      </c>
      <c r="T6" s="1">
        <f t="shared" si="13"/>
        <v>1.7317073170731707</v>
      </c>
      <c r="U6" s="1">
        <f t="shared" si="14"/>
        <v>2</v>
      </c>
      <c r="V6" s="1">
        <f t="shared" si="15"/>
        <v>-1.1897679952408424E-3</v>
      </c>
      <c r="W6" s="1">
        <f t="shared" si="16"/>
        <v>1</v>
      </c>
      <c r="X6" s="2">
        <f t="shared" si="17"/>
        <v>1.7320261437908497</v>
      </c>
      <c r="Y6" s="1">
        <f t="shared" si="18"/>
        <v>-8.5437224998763384E-5</v>
      </c>
      <c r="Z6" s="1">
        <f t="shared" si="19"/>
        <v>1.016504759057195E-7</v>
      </c>
      <c r="AA6" s="1">
        <f t="shared" si="20"/>
        <v>1.8407731247128416E-4</v>
      </c>
      <c r="AB6" s="1">
        <f t="shared" si="1"/>
        <v>1.5094567465215385E-5</v>
      </c>
      <c r="AD6" s="3" t="s">
        <v>19</v>
      </c>
      <c r="AE6" s="22">
        <v>1.732</v>
      </c>
      <c r="AF6" s="22"/>
      <c r="AH6" s="1">
        <v>3</v>
      </c>
      <c r="AI6" s="2">
        <f>AI5-(AJ5/AK5)</f>
        <v>1.7321428571428572</v>
      </c>
      <c r="AJ6" s="1">
        <f>AI6^2-3</f>
        <v>3.1887755102077975E-4</v>
      </c>
      <c r="AK6" s="1">
        <f>2*AI6</f>
        <v>3.4642857142857144</v>
      </c>
      <c r="AL6" s="18">
        <f t="shared" si="21"/>
        <v>-1.0309278350515427E-2</v>
      </c>
      <c r="AM6" s="18">
        <f t="shared" si="2"/>
        <v>8.2481029363292314E-5</v>
      </c>
      <c r="AS6" s="3"/>
      <c r="AT6" s="1">
        <v>3</v>
      </c>
      <c r="AU6" s="2">
        <f t="shared" ref="AU6:AU7" si="24">AU5-(((AV5*(AU5-AU4))/(AV5-AV4)))</f>
        <v>1.7272727272727273</v>
      </c>
      <c r="AV6" s="1">
        <f t="shared" si="3"/>
        <v>-1.6528925619834656E-2</v>
      </c>
      <c r="AW6" s="3">
        <f t="shared" si="22"/>
        <v>3.5087719298245584E-2</v>
      </c>
      <c r="AX6" s="3">
        <f t="shared" si="4"/>
        <v>2.7293722443837709E-3</v>
      </c>
      <c r="AY6" s="21">
        <f t="shared" si="23"/>
        <v>3.5087719298245584E-2</v>
      </c>
      <c r="AZ6" s="21">
        <f t="shared" si="5"/>
        <v>2.7293722443837709E-3</v>
      </c>
    </row>
    <row r="7" spans="1:52" x14ac:dyDescent="0.3">
      <c r="E7" s="1">
        <v>4</v>
      </c>
      <c r="F7" s="1">
        <f t="shared" si="6"/>
        <v>1.6875</v>
      </c>
      <c r="G7" s="1">
        <f t="shared" si="7"/>
        <v>1.75</v>
      </c>
      <c r="H7" s="2">
        <f t="shared" si="8"/>
        <v>1.71875</v>
      </c>
      <c r="I7" s="1">
        <f t="shared" si="9"/>
        <v>-0.15234375</v>
      </c>
      <c r="J7" s="1">
        <f t="shared" si="10"/>
        <v>-4.58984375E-2</v>
      </c>
      <c r="K7" s="1">
        <f t="shared" si="11"/>
        <v>6.992340087890625E-3</v>
      </c>
      <c r="L7" s="3">
        <f t="shared" si="12"/>
        <v>1.8181818181818181E-2</v>
      </c>
      <c r="M7" s="3">
        <f t="shared" si="0"/>
        <v>7.6501154734410996E-3</v>
      </c>
      <c r="S7" s="1">
        <v>4</v>
      </c>
      <c r="T7" s="1">
        <f t="shared" si="13"/>
        <v>1.7320261437908497</v>
      </c>
      <c r="U7" s="1">
        <f t="shared" si="14"/>
        <v>2</v>
      </c>
      <c r="V7" s="1">
        <f t="shared" si="15"/>
        <v>-8.5437224998763384E-5</v>
      </c>
      <c r="W7" s="1">
        <f t="shared" si="16"/>
        <v>1</v>
      </c>
      <c r="X7" s="2">
        <f t="shared" si="17"/>
        <v>1.7320490367775832</v>
      </c>
      <c r="Y7" s="1">
        <f t="shared" si="18"/>
        <v>-6.1341978465634384E-6</v>
      </c>
      <c r="Z7" s="1">
        <f t="shared" si="19"/>
        <v>5.2408884160377034E-10</v>
      </c>
      <c r="AA7" s="1">
        <f t="shared" si="20"/>
        <v>1.3217285566005327E-5</v>
      </c>
      <c r="AB7" s="1">
        <f t="shared" si="1"/>
        <v>2.8312227242013177E-5</v>
      </c>
      <c r="AH7" s="4">
        <v>4</v>
      </c>
      <c r="AI7" s="4">
        <f>AI6-(AJ6/AK6)</f>
        <v>1.7320508100147276</v>
      </c>
      <c r="AJ7" s="4">
        <f>AI7^2-3</f>
        <v>8.4726741178542397E-9</v>
      </c>
      <c r="AK7" s="4">
        <f>2*AI7</f>
        <v>3.4641016200294552</v>
      </c>
      <c r="AL7" s="18">
        <f t="shared" si="21"/>
        <v>-5.3143434128713205E-5</v>
      </c>
      <c r="AM7" s="18">
        <f t="shared" si="2"/>
        <v>2.9336036216870819E-5</v>
      </c>
      <c r="AS7" s="3"/>
      <c r="AT7" s="1">
        <v>4</v>
      </c>
      <c r="AU7" s="2">
        <f t="shared" si="24"/>
        <v>1.7321428571428572</v>
      </c>
      <c r="AV7" s="1">
        <f t="shared" si="3"/>
        <v>3.1887755102077975E-4</v>
      </c>
      <c r="AW7" s="3">
        <f t="shared" si="22"/>
        <v>2.811621368322424E-3</v>
      </c>
      <c r="AX7" s="3">
        <f t="shared" si="4"/>
        <v>8.2481029363292314E-5</v>
      </c>
      <c r="AY7" s="21">
        <f t="shared" si="23"/>
        <v>2.811621368322424E-3</v>
      </c>
      <c r="AZ7" s="21">
        <f t="shared" si="5"/>
        <v>8.2481029363292314E-5</v>
      </c>
    </row>
    <row r="8" spans="1:52" x14ac:dyDescent="0.3">
      <c r="E8" s="1">
        <v>5</v>
      </c>
      <c r="F8" s="1">
        <f t="shared" si="6"/>
        <v>1.71875</v>
      </c>
      <c r="G8" s="1">
        <f t="shared" si="7"/>
        <v>1.75</v>
      </c>
      <c r="H8" s="2">
        <f t="shared" si="8"/>
        <v>1.734375</v>
      </c>
      <c r="I8" s="1">
        <f t="shared" si="9"/>
        <v>-4.58984375E-2</v>
      </c>
      <c r="J8" s="1">
        <f t="shared" si="10"/>
        <v>8.056640625E-3</v>
      </c>
      <c r="K8" s="1">
        <f t="shared" si="11"/>
        <v>-3.6978721618652344E-4</v>
      </c>
      <c r="L8" s="3">
        <f t="shared" si="12"/>
        <v>9.0090090090090089E-3</v>
      </c>
      <c r="M8" s="3">
        <f t="shared" si="0"/>
        <v>1.3712471131639816E-3</v>
      </c>
      <c r="S8" s="1">
        <v>5</v>
      </c>
      <c r="T8" s="1">
        <f t="shared" si="13"/>
        <v>1.7320490367775832</v>
      </c>
      <c r="U8" s="1">
        <f t="shared" si="14"/>
        <v>2</v>
      </c>
      <c r="V8" s="1">
        <f t="shared" si="15"/>
        <v>-6.1341978465634384E-6</v>
      </c>
      <c r="W8" s="1">
        <f t="shared" si="16"/>
        <v>1</v>
      </c>
      <c r="X8" s="2">
        <f t="shared" si="17"/>
        <v>1.7320506804317222</v>
      </c>
      <c r="Y8" s="1">
        <f t="shared" si="18"/>
        <v>-4.4041600810729165E-7</v>
      </c>
      <c r="Z8" s="1">
        <f t="shared" si="19"/>
        <v>2.7015989285238144E-12</v>
      </c>
      <c r="AA8" s="1">
        <f t="shared" si="20"/>
        <v>9.4896422927224018E-7</v>
      </c>
      <c r="AB8" s="1">
        <f t="shared" si="1"/>
        <v>2.9261219239135781E-5</v>
      </c>
      <c r="AS8" s="3"/>
      <c r="AT8" s="4">
        <v>5</v>
      </c>
      <c r="AU8" s="4">
        <f>AU7-(((AV7*(AU7-AU6))/(AV7-AV6)))</f>
        <v>1.7320506804317222</v>
      </c>
      <c r="AV8" s="4">
        <f t="shared" si="3"/>
        <v>-4.4041600810729165E-7</v>
      </c>
      <c r="AW8" s="3">
        <f t="shared" si="22"/>
        <v>5.32182528931911E-5</v>
      </c>
      <c r="AX8" s="3">
        <f t="shared" si="4"/>
        <v>2.9261219239135781E-5</v>
      </c>
      <c r="AY8" s="21">
        <f t="shared" si="23"/>
        <v>5.32182528931911E-5</v>
      </c>
      <c r="AZ8" s="21">
        <f t="shared" si="5"/>
        <v>2.9261219239135781E-5</v>
      </c>
    </row>
    <row r="9" spans="1:52" x14ac:dyDescent="0.3">
      <c r="E9" s="1">
        <v>6</v>
      </c>
      <c r="F9" s="1">
        <f t="shared" si="6"/>
        <v>1.71875</v>
      </c>
      <c r="G9" s="1">
        <f t="shared" si="7"/>
        <v>1.734375</v>
      </c>
      <c r="H9" s="2">
        <f t="shared" si="8"/>
        <v>1.7265625</v>
      </c>
      <c r="I9" s="1">
        <f t="shared" si="9"/>
        <v>-4.58984375E-2</v>
      </c>
      <c r="J9" s="1">
        <f t="shared" si="10"/>
        <v>-1.898193359375E-2</v>
      </c>
      <c r="K9" s="1">
        <f t="shared" si="11"/>
        <v>8.7124109268188477E-4</v>
      </c>
      <c r="L9" s="3">
        <f t="shared" si="12"/>
        <v>4.5248868778280547E-3</v>
      </c>
      <c r="M9" s="3">
        <f t="shared" si="0"/>
        <v>3.139434180138559E-3</v>
      </c>
      <c r="S9" s="1">
        <v>6</v>
      </c>
      <c r="T9" s="1">
        <f t="shared" si="13"/>
        <v>1.7320506804317222</v>
      </c>
      <c r="U9" s="1">
        <f t="shared" si="14"/>
        <v>2</v>
      </c>
      <c r="V9" s="1">
        <f t="shared" si="15"/>
        <v>-4.4041600810729165E-7</v>
      </c>
      <c r="W9" s="1">
        <f t="shared" si="16"/>
        <v>1</v>
      </c>
      <c r="X9" s="2">
        <f t="shared" si="17"/>
        <v>1.73205079844084</v>
      </c>
      <c r="Y9" s="1">
        <f t="shared" si="18"/>
        <v>-3.162044892590643E-8</v>
      </c>
      <c r="Z9" s="1">
        <f t="shared" si="19"/>
        <v>1.3926151890508208E-14</v>
      </c>
      <c r="AA9" s="1">
        <f t="shared" si="20"/>
        <v>6.8132596294082609E-8</v>
      </c>
      <c r="AB9" s="1">
        <f t="shared" si="1"/>
        <v>2.9329353833714888E-5</v>
      </c>
      <c r="AS9" s="3"/>
      <c r="AT9" s="4">
        <v>6</v>
      </c>
      <c r="AU9" s="4">
        <f>AU8-(((AV8*(AU8-AU7))/(AV8-AV7)))</f>
        <v>1.732050807565499</v>
      </c>
      <c r="AV9" s="4">
        <f t="shared" si="3"/>
        <v>-1.170263885796885E-11</v>
      </c>
      <c r="AW9" s="3">
        <f t="shared" si="22"/>
        <v>7.3400720281448455E-8</v>
      </c>
      <c r="AX9" s="3">
        <f t="shared" si="4"/>
        <v>2.9334622112599622E-5</v>
      </c>
      <c r="AY9" s="21">
        <f t="shared" si="23"/>
        <v>7.3400720281448455E-8</v>
      </c>
      <c r="AZ9" s="21">
        <f t="shared" si="5"/>
        <v>2.9334622112599622E-5</v>
      </c>
    </row>
    <row r="10" spans="1:52" x14ac:dyDescent="0.3">
      <c r="E10" s="1">
        <v>7</v>
      </c>
      <c r="F10" s="1">
        <f t="shared" si="6"/>
        <v>1.7265625</v>
      </c>
      <c r="G10" s="1">
        <f t="shared" si="7"/>
        <v>1.734375</v>
      </c>
      <c r="H10" s="2">
        <f t="shared" si="8"/>
        <v>1.73046875</v>
      </c>
      <c r="I10" s="1">
        <f t="shared" si="9"/>
        <v>-1.898193359375E-2</v>
      </c>
      <c r="J10" s="1">
        <f t="shared" si="10"/>
        <v>-5.4779052734375E-3</v>
      </c>
      <c r="K10" s="1">
        <f t="shared" si="11"/>
        <v>1.0398123413324356E-4</v>
      </c>
      <c r="L10" s="3">
        <f t="shared" si="12"/>
        <v>2.257336343115124E-3</v>
      </c>
      <c r="M10" s="3">
        <f t="shared" si="0"/>
        <v>8.8409353348728871E-4</v>
      </c>
      <c r="S10" s="1">
        <v>7</v>
      </c>
      <c r="T10" s="1">
        <f>IF(Z9&lt;0,T9,X9)</f>
        <v>1.73205079844084</v>
      </c>
      <c r="U10" s="1">
        <f>IF(Z9&gt;0,U9,X9)</f>
        <v>2</v>
      </c>
      <c r="V10" s="1">
        <f>(T10^2)-3</f>
        <v>-3.162044892590643E-8</v>
      </c>
      <c r="W10" s="1">
        <f>(U10^2)-3</f>
        <v>1</v>
      </c>
      <c r="X10" s="2">
        <f>T10-((U10-T10)/(W10-V10))*V10</f>
        <v>1.7320508069135137</v>
      </c>
      <c r="Y10" s="1">
        <f>(X10^2)-3</f>
        <v>-2.2702462132428991E-9</v>
      </c>
      <c r="Z10" s="1">
        <f>V10*Y10</f>
        <v>7.178620443507957E-17</v>
      </c>
      <c r="AA10" s="1">
        <f t="shared" si="20"/>
        <v>4.8917004281549894E-9</v>
      </c>
      <c r="AB10" s="1">
        <f t="shared" si="1"/>
        <v>2.9334245677637384E-5</v>
      </c>
      <c r="AS10" s="3"/>
      <c r="AT10" s="4">
        <v>7</v>
      </c>
      <c r="AU10" s="4">
        <f>AU9-(((AV9*(AU9-AU8))/(AV9-AV8)))</f>
        <v>1.7320508075688772</v>
      </c>
      <c r="AV10" s="4">
        <f t="shared" si="3"/>
        <v>0</v>
      </c>
      <c r="AW10" s="3">
        <f t="shared" si="22"/>
        <v>1.9503969540426361E-12</v>
      </c>
      <c r="AX10" s="3">
        <f t="shared" si="4"/>
        <v>2.9334624063053791E-5</v>
      </c>
      <c r="AY10" s="21">
        <f t="shared" si="23"/>
        <v>1.9503969540426361E-12</v>
      </c>
      <c r="AZ10" s="21">
        <f t="shared" si="5"/>
        <v>2.9334624063053791E-5</v>
      </c>
    </row>
    <row r="11" spans="1:52" x14ac:dyDescent="0.3">
      <c r="E11" s="1">
        <v>8</v>
      </c>
      <c r="F11" s="1">
        <f t="shared" si="6"/>
        <v>1.73046875</v>
      </c>
      <c r="G11" s="1">
        <f t="shared" si="7"/>
        <v>1.734375</v>
      </c>
      <c r="H11" s="2">
        <f t="shared" si="8"/>
        <v>1.732421875</v>
      </c>
      <c r="I11" s="1">
        <f t="shared" si="9"/>
        <v>-5.4779052734375E-3</v>
      </c>
      <c r="J11" s="1">
        <f t="shared" si="10"/>
        <v>1.285552978515625E-3</v>
      </c>
      <c r="K11" s="1">
        <f t="shared" si="11"/>
        <v>-7.0421374402940273E-6</v>
      </c>
      <c r="L11" s="3">
        <f t="shared" si="12"/>
        <v>1.1273957158962795E-3</v>
      </c>
      <c r="M11" s="3">
        <f t="shared" si="0"/>
        <v>2.4357678983834641E-4</v>
      </c>
      <c r="S11" s="4">
        <v>8</v>
      </c>
      <c r="T11" s="4">
        <f>IF(Z10&lt;0,T10,X10)</f>
        <v>1.7320508069135137</v>
      </c>
      <c r="U11" s="4">
        <f>IF(Z10&gt;0,U10,X10)</f>
        <v>2</v>
      </c>
      <c r="V11" s="4">
        <f>(T11^2)-3</f>
        <v>-2.2702462132428991E-9</v>
      </c>
      <c r="W11" s="4">
        <f>(U11^2)-3</f>
        <v>1</v>
      </c>
      <c r="X11" s="4">
        <f>T11-((U11-T11)/(W11-V11))*V11</f>
        <v>1.7320508075218244</v>
      </c>
      <c r="Y11" s="4">
        <f>(X11^2)-3</f>
        <v>-1.6299583904810788E-10</v>
      </c>
      <c r="Z11" s="4">
        <f>V11*Y11</f>
        <v>3.7004068637331599E-19</v>
      </c>
      <c r="AA11" s="1">
        <f t="shared" si="20"/>
        <v>3.5120836668048594E-10</v>
      </c>
      <c r="AB11" s="1">
        <f t="shared" si="1"/>
        <v>2.933459689630662E-5</v>
      </c>
    </row>
    <row r="12" spans="1:52" x14ac:dyDescent="0.3">
      <c r="E12" s="1">
        <v>9</v>
      </c>
      <c r="F12" s="1">
        <f t="shared" si="6"/>
        <v>1.73046875</v>
      </c>
      <c r="G12" s="1">
        <f t="shared" si="7"/>
        <v>1.732421875</v>
      </c>
      <c r="H12" s="2">
        <f t="shared" si="8"/>
        <v>1.7314453125</v>
      </c>
      <c r="I12" s="1">
        <f t="shared" si="9"/>
        <v>-5.4779052734375E-3</v>
      </c>
      <c r="J12" s="1">
        <f t="shared" si="10"/>
        <v>-2.0971298217773438E-3</v>
      </c>
      <c r="K12" s="1">
        <f t="shared" si="11"/>
        <v>1.1487878509797156E-5</v>
      </c>
      <c r="L12" s="3">
        <f t="shared" si="12"/>
        <v>5.6401579244218843E-4</v>
      </c>
      <c r="M12" s="3">
        <f t="shared" si="0"/>
        <v>3.2025837182447114E-4</v>
      </c>
      <c r="S12" s="4">
        <v>9</v>
      </c>
      <c r="T12" s="4">
        <f t="shared" ref="T12:T13" si="25">IF(Z11&lt;0,T11,X11)</f>
        <v>1.7320508075218244</v>
      </c>
      <c r="U12" s="4">
        <f t="shared" ref="U12:U13" si="26">IF(Z11&gt;0,U11,X11)</f>
        <v>2</v>
      </c>
      <c r="V12" s="4">
        <f t="shared" ref="V12:V13" si="27">(T12^2)-3</f>
        <v>-1.6299583904810788E-10</v>
      </c>
      <c r="W12" s="4">
        <f t="shared" ref="W12:W13" si="28">(U12^2)-3</f>
        <v>1</v>
      </c>
      <c r="X12" s="4">
        <f t="shared" ref="X12:X13" si="29">T12-((U12-T12)/(W12-V12))*V12</f>
        <v>1.732050807565499</v>
      </c>
      <c r="Y12" s="4">
        <f t="shared" ref="Y12:Y13" si="30">(X12^2)-3</f>
        <v>-1.170263885796885E-11</v>
      </c>
      <c r="Z12" s="4">
        <f t="shared" ref="Z12:Z13" si="31">V12*Y12</f>
        <v>1.9074814397316237E-21</v>
      </c>
      <c r="AA12" s="1">
        <f t="shared" si="20"/>
        <v>2.5215553311572005E-11</v>
      </c>
      <c r="AB12" s="1">
        <f t="shared" si="1"/>
        <v>2.9334622112599622E-5</v>
      </c>
    </row>
    <row r="13" spans="1:52" x14ac:dyDescent="0.3">
      <c r="E13" s="1">
        <v>10</v>
      </c>
      <c r="F13" s="1">
        <f t="shared" si="6"/>
        <v>1.7314453125</v>
      </c>
      <c r="G13" s="1">
        <f t="shared" si="7"/>
        <v>1.732421875</v>
      </c>
      <c r="H13" s="2">
        <f t="shared" si="8"/>
        <v>1.73193359375</v>
      </c>
      <c r="I13" s="1">
        <f t="shared" si="9"/>
        <v>-2.0971298217773438E-3</v>
      </c>
      <c r="J13" s="1">
        <f t="shared" si="10"/>
        <v>-4.0602684020996094E-4</v>
      </c>
      <c r="K13" s="1">
        <f t="shared" si="11"/>
        <v>8.5149099504633341E-7</v>
      </c>
      <c r="L13" s="3">
        <f t="shared" si="12"/>
        <v>2.8192839018889202E-4</v>
      </c>
      <c r="M13" s="3">
        <f t="shared" si="0"/>
        <v>3.8340790993062366E-5</v>
      </c>
      <c r="S13" s="4">
        <v>10</v>
      </c>
      <c r="T13" s="4">
        <f t="shared" si="25"/>
        <v>1.732050807565499</v>
      </c>
      <c r="U13" s="4">
        <f t="shared" si="26"/>
        <v>2</v>
      </c>
      <c r="V13" s="4">
        <f t="shared" si="27"/>
        <v>-1.170263885796885E-11</v>
      </c>
      <c r="W13" s="4">
        <f t="shared" si="28"/>
        <v>1</v>
      </c>
      <c r="X13" s="4">
        <f t="shared" si="29"/>
        <v>1.7320508075686347</v>
      </c>
      <c r="Y13" s="4">
        <f t="shared" si="30"/>
        <v>-8.4021678503631847E-13</v>
      </c>
      <c r="Z13" s="4">
        <f t="shared" si="31"/>
        <v>9.8327535976836808E-24</v>
      </c>
      <c r="AA13" s="1">
        <f t="shared" si="20"/>
        <v>1.8104052704741662E-12</v>
      </c>
      <c r="AB13" s="1">
        <f t="shared" si="1"/>
        <v>2.9334623923058001E-5</v>
      </c>
    </row>
    <row r="14" spans="1:52" x14ac:dyDescent="0.3">
      <c r="E14" s="1">
        <v>11</v>
      </c>
      <c r="F14" s="1">
        <f t="shared" si="6"/>
        <v>1.73193359375</v>
      </c>
      <c r="G14" s="1">
        <f t="shared" si="7"/>
        <v>1.732421875</v>
      </c>
      <c r="H14" s="2">
        <f t="shared" si="8"/>
        <v>1.732177734375</v>
      </c>
      <c r="I14" s="1">
        <f t="shared" si="9"/>
        <v>-4.0602684020996094E-4</v>
      </c>
      <c r="J14" s="1">
        <f t="shared" si="10"/>
        <v>4.3970346450805664E-4</v>
      </c>
      <c r="K14" s="1">
        <f t="shared" si="11"/>
        <v>-1.7853140832357894E-7</v>
      </c>
      <c r="L14" s="3">
        <f t="shared" si="12"/>
        <v>1.4094432699083862E-4</v>
      </c>
      <c r="M14" s="3">
        <f t="shared" si="0"/>
        <v>1.0261799942264203E-4</v>
      </c>
    </row>
    <row r="15" spans="1:52" x14ac:dyDescent="0.3">
      <c r="E15" s="1">
        <v>12</v>
      </c>
      <c r="F15" s="1">
        <f t="shared" si="6"/>
        <v>1.73193359375</v>
      </c>
      <c r="G15" s="1">
        <f t="shared" si="7"/>
        <v>1.732177734375</v>
      </c>
      <c r="H15" s="2">
        <f t="shared" si="8"/>
        <v>1.7320556640625</v>
      </c>
      <c r="I15" s="1">
        <f t="shared" si="9"/>
        <v>-4.0602684020996094E-4</v>
      </c>
      <c r="J15" s="1">
        <f t="shared" si="10"/>
        <v>1.6823410987854004E-5</v>
      </c>
      <c r="K15" s="1">
        <f t="shared" si="11"/>
        <v>-6.8307564049518987E-9</v>
      </c>
      <c r="L15" s="3">
        <f t="shared" si="12"/>
        <v>7.0477130171259429E-5</v>
      </c>
      <c r="M15" s="3">
        <f t="shared" si="0"/>
        <v>3.2138604214789831E-5</v>
      </c>
    </row>
    <row r="16" spans="1:52" x14ac:dyDescent="0.3">
      <c r="E16" s="1">
        <v>13</v>
      </c>
      <c r="F16" s="1">
        <f t="shared" si="6"/>
        <v>1.73193359375</v>
      </c>
      <c r="G16" s="1">
        <f t="shared" si="7"/>
        <v>1.7320556640625</v>
      </c>
      <c r="H16" s="2">
        <f t="shared" si="8"/>
        <v>1.73199462890625</v>
      </c>
      <c r="I16" s="1">
        <f t="shared" si="9"/>
        <v>-4.0602684020996094E-4</v>
      </c>
      <c r="J16" s="1">
        <f t="shared" si="10"/>
        <v>-1.9460543990135193E-4</v>
      </c>
      <c r="K16" s="1">
        <f t="shared" si="11"/>
        <v>7.9015031850815376E-8</v>
      </c>
      <c r="L16" s="3">
        <f t="shared" si="12"/>
        <v>3.5239806885858265E-5</v>
      </c>
      <c r="M16" s="3">
        <f t="shared" si="0"/>
        <v>3.1010933891362659E-6</v>
      </c>
    </row>
    <row r="17" spans="5:13" x14ac:dyDescent="0.3">
      <c r="E17" s="1">
        <v>14</v>
      </c>
      <c r="F17" s="1">
        <f t="shared" si="6"/>
        <v>1.73199462890625</v>
      </c>
      <c r="G17" s="1">
        <f t="shared" si="7"/>
        <v>1.7320556640625</v>
      </c>
      <c r="H17" s="2">
        <f t="shared" si="8"/>
        <v>1.732025146484375</v>
      </c>
      <c r="I17" s="1">
        <f t="shared" si="9"/>
        <v>-1.9460543990135193E-4</v>
      </c>
      <c r="J17" s="1">
        <f t="shared" si="10"/>
        <v>-8.8891945779323578E-5</v>
      </c>
      <c r="K17" s="1">
        <f t="shared" si="11"/>
        <v>1.7298856212072389E-8</v>
      </c>
      <c r="L17" s="3">
        <f t="shared" si="12"/>
        <v>1.7619592987401992E-5</v>
      </c>
      <c r="M17" s="3">
        <f t="shared" si="0"/>
        <v>1.4518755412826783E-5</v>
      </c>
    </row>
    <row r="18" spans="5:13" x14ac:dyDescent="0.3">
      <c r="E18" s="1">
        <v>15</v>
      </c>
      <c r="F18" s="1">
        <f t="shared" si="6"/>
        <v>1.732025146484375</v>
      </c>
      <c r="G18" s="1">
        <f t="shared" si="7"/>
        <v>1.7320556640625</v>
      </c>
      <c r="H18" s="2">
        <f t="shared" si="8"/>
        <v>1.7320404052734375</v>
      </c>
      <c r="I18" s="1">
        <f t="shared" si="9"/>
        <v>-8.8891945779323578E-5</v>
      </c>
      <c r="J18" s="1">
        <f t="shared" si="10"/>
        <v>-3.6034500226378441E-5</v>
      </c>
      <c r="K18" s="1">
        <f t="shared" si="11"/>
        <v>3.2031768403082556E-9</v>
      </c>
      <c r="L18" s="3">
        <f t="shared" si="12"/>
        <v>8.8097188818704796E-6</v>
      </c>
      <c r="M18" s="3">
        <f t="shared" si="0"/>
        <v>2.3328679813808309E-5</v>
      </c>
    </row>
    <row r="19" spans="5:13" x14ac:dyDescent="0.3">
      <c r="E19" s="1">
        <v>16</v>
      </c>
      <c r="F19" s="1">
        <f t="shared" si="6"/>
        <v>1.7320404052734375</v>
      </c>
      <c r="G19" s="1">
        <f t="shared" si="7"/>
        <v>1.7320556640625</v>
      </c>
      <c r="H19" s="2">
        <f t="shared" si="8"/>
        <v>1.7320480346679688</v>
      </c>
      <c r="I19" s="1">
        <f t="shared" si="9"/>
        <v>-3.6034500226378441E-5</v>
      </c>
      <c r="J19" s="1">
        <f t="shared" si="10"/>
        <v>-9.6056028269231319E-6</v>
      </c>
      <c r="K19" s="1">
        <f t="shared" si="11"/>
        <v>3.4613309724126299E-10</v>
      </c>
      <c r="L19" s="3">
        <f t="shared" si="12"/>
        <v>4.4048400382340118E-6</v>
      </c>
      <c r="M19" s="3">
        <f t="shared" si="0"/>
        <v>2.7733642014299068E-5</v>
      </c>
    </row>
    <row r="20" spans="5:13" x14ac:dyDescent="0.3">
      <c r="E20" s="1">
        <v>17</v>
      </c>
      <c r="F20" s="1">
        <f t="shared" si="6"/>
        <v>1.7320480346679688</v>
      </c>
      <c r="G20" s="1">
        <f t="shared" si="7"/>
        <v>1.7320556640625</v>
      </c>
      <c r="H20" s="2">
        <f t="shared" si="8"/>
        <v>1.7320518493652344</v>
      </c>
      <c r="I20" s="1">
        <f t="shared" si="9"/>
        <v>-9.6056028269231319E-6</v>
      </c>
      <c r="J20" s="1">
        <f t="shared" si="10"/>
        <v>3.6088895285502076E-6</v>
      </c>
      <c r="K20" s="1">
        <f t="shared" si="11"/>
        <v>-3.4665559457495163E-11</v>
      </c>
      <c r="L20" s="3">
        <f t="shared" si="12"/>
        <v>2.2024151684737483E-6</v>
      </c>
      <c r="M20" s="3">
        <f t="shared" si="0"/>
        <v>2.9936123114544451E-5</v>
      </c>
    </row>
    <row r="21" spans="5:13" x14ac:dyDescent="0.3">
      <c r="E21" s="1">
        <v>18</v>
      </c>
      <c r="F21" s="1">
        <f t="shared" ref="F21" si="32">IF(K20&lt;0,F20,H20)</f>
        <v>1.7320480346679688</v>
      </c>
      <c r="G21" s="1">
        <f t="shared" ref="G21" si="33">IF(K20&gt;0,G20,H20)</f>
        <v>1.7320518493652344</v>
      </c>
      <c r="H21" s="2">
        <f t="shared" ref="H21" si="34" xml:space="preserve"> (F21+G21) /2</f>
        <v>1.7320499420166016</v>
      </c>
      <c r="I21" s="1">
        <f t="shared" ref="I21" si="35">F21^2-3</f>
        <v>-9.6056028269231319E-6</v>
      </c>
      <c r="J21" s="1">
        <f t="shared" ref="J21" si="36">(H21)^2-3</f>
        <v>-2.9983602871652693E-6</v>
      </c>
      <c r="K21" s="1">
        <f t="shared" ref="K21" si="37">I21*J21</f>
        <v>2.8801058050528764E-11</v>
      </c>
      <c r="L21" s="3">
        <f t="shared" ref="L21" si="38">ABS((H21-H20)/H21)</f>
        <v>1.1012087968963532E-6</v>
      </c>
      <c r="M21" s="3">
        <f t="shared" ref="M21" si="39">ABS(($C$5-H21)/$C$5)</f>
        <v>2.8834882564421761E-5</v>
      </c>
    </row>
    <row r="22" spans="5:13" x14ac:dyDescent="0.3">
      <c r="E22" s="1">
        <v>19</v>
      </c>
      <c r="F22" s="1">
        <f t="shared" ref="F22:F23" si="40">IF(K21&lt;0,F21,H21)</f>
        <v>1.7320499420166016</v>
      </c>
      <c r="G22" s="1">
        <f t="shared" ref="G22:G23" si="41">IF(K21&gt;0,G21,H21)</f>
        <v>1.7320518493652344</v>
      </c>
      <c r="H22" s="2">
        <f t="shared" ref="H22:H23" si="42" xml:space="preserve"> (F22+G22) /2</f>
        <v>1.732050895690918</v>
      </c>
      <c r="I22" s="1">
        <f t="shared" ref="I22:I23" si="43">F22^2-3</f>
        <v>-2.9983602871652693E-6</v>
      </c>
      <c r="J22" s="1">
        <f t="shared" ref="J22:J23" si="44">(H22)^2-3</f>
        <v>3.0526371119776741E-7</v>
      </c>
      <c r="K22" s="1">
        <f t="shared" ref="K22:K23" si="45">I22*J22</f>
        <v>-9.152905887680737E-13</v>
      </c>
      <c r="L22" s="3">
        <f t="shared" ref="L22:L23" si="46">ABS((H22-H21)/H22)</f>
        <v>5.5060409528313993E-7</v>
      </c>
      <c r="M22" s="3">
        <f t="shared" ref="M22:M23" si="47">ABS(($C$5-H22)/$C$5)</f>
        <v>2.9385502839483106E-5</v>
      </c>
    </row>
    <row r="23" spans="5:13" x14ac:dyDescent="0.3">
      <c r="E23" s="1">
        <v>20</v>
      </c>
      <c r="F23" s="3">
        <f t="shared" si="40"/>
        <v>1.7320499420166016</v>
      </c>
      <c r="G23" s="3">
        <f t="shared" si="41"/>
        <v>1.732050895690918</v>
      </c>
      <c r="H23" s="15">
        <f t="shared" si="42"/>
        <v>1.7320504188537598</v>
      </c>
      <c r="I23" s="3">
        <f t="shared" si="43"/>
        <v>-2.9983602871652693E-6</v>
      </c>
      <c r="J23" s="3">
        <f t="shared" si="44"/>
        <v>-1.3465485153574264E-6</v>
      </c>
      <c r="K23" s="3">
        <f t="shared" si="45"/>
        <v>4.0374375931890599E-12</v>
      </c>
      <c r="L23" s="3">
        <f t="shared" si="46"/>
        <v>2.7530212343280827E-7</v>
      </c>
      <c r="M23" s="3">
        <f t="shared" si="47"/>
        <v>2.9110192701952432E-5</v>
      </c>
    </row>
    <row r="24" spans="5:13" x14ac:dyDescent="0.3">
      <c r="E24" s="1">
        <v>21</v>
      </c>
      <c r="F24" s="3">
        <f t="shared" ref="F24:F25" si="48">IF(K23&lt;0,F23,H23)</f>
        <v>1.7320504188537598</v>
      </c>
      <c r="G24" s="3">
        <f t="shared" ref="G24:G25" si="49">IF(K23&gt;0,G23,H23)</f>
        <v>1.732050895690918</v>
      </c>
      <c r="H24" s="15">
        <f t="shared" ref="H24:H25" si="50" xml:space="preserve"> (F24+G24) /2</f>
        <v>1.7320506572723389</v>
      </c>
      <c r="I24" s="3">
        <f t="shared" ref="I24:I25" si="51">F24^2-3</f>
        <v>-1.3465485153574264E-6</v>
      </c>
      <c r="J24" s="3">
        <f t="shared" ref="J24:J25" si="52">(H24)^2-3</f>
        <v>-5.2064245892324834E-7</v>
      </c>
      <c r="K24" s="3">
        <f t="shared" ref="K24:K25" si="53">I24*J24</f>
        <v>7.010703300951399E-13</v>
      </c>
      <c r="L24" s="3">
        <f t="shared" ref="L24:L25" si="54">ABS((H24-H23)/H24)</f>
        <v>1.3765104276859194E-7</v>
      </c>
      <c r="M24" s="3">
        <f t="shared" ref="M24:M25" si="55">ABS(($C$5-H24)/$C$5)</f>
        <v>2.9247847770717769E-5</v>
      </c>
    </row>
    <row r="25" spans="5:13" x14ac:dyDescent="0.3">
      <c r="E25" s="1">
        <v>22</v>
      </c>
      <c r="F25" s="3">
        <f t="shared" si="48"/>
        <v>1.7320506572723389</v>
      </c>
      <c r="G25" s="3">
        <f t="shared" si="49"/>
        <v>1.732050895690918</v>
      </c>
      <c r="H25" s="15">
        <f t="shared" si="50"/>
        <v>1.7320507764816284</v>
      </c>
      <c r="I25" s="3">
        <f t="shared" si="51"/>
        <v>-5.2064245892324834E-7</v>
      </c>
      <c r="J25" s="3">
        <f t="shared" si="52"/>
        <v>-1.0768938807359518E-7</v>
      </c>
      <c r="K25" s="3">
        <f t="shared" si="53"/>
        <v>5.606766780657653E-14</v>
      </c>
      <c r="L25" s="3">
        <f t="shared" si="54"/>
        <v>6.8825516647343899E-8</v>
      </c>
      <c r="M25" s="3">
        <f t="shared" si="55"/>
        <v>2.9316675305100436E-5</v>
      </c>
    </row>
    <row r="26" spans="5:13" x14ac:dyDescent="0.3">
      <c r="E26" s="1">
        <v>23</v>
      </c>
      <c r="F26" s="3">
        <f t="shared" ref="F26:F31" si="56">IF(K25&lt;0,F25,H25)</f>
        <v>1.7320507764816284</v>
      </c>
      <c r="G26" s="3">
        <f t="shared" ref="G26:G31" si="57">IF(K25&gt;0,G25,H25)</f>
        <v>1.732050895690918</v>
      </c>
      <c r="H26" s="15">
        <f t="shared" ref="H26:H31" si="58" xml:space="preserve"> (F26+G26) /2</f>
        <v>1.7320508360862732</v>
      </c>
      <c r="I26" s="3">
        <f t="shared" ref="I26:I31" si="59">F26^2-3</f>
        <v>-1.0768938807359518E-7</v>
      </c>
      <c r="J26" s="3">
        <f t="shared" ref="J26:J31" si="60">(H26)^2-3</f>
        <v>9.8787158009372433E-8</v>
      </c>
      <c r="K26" s="3">
        <f t="shared" ref="K26:K31" si="61">I26*J26</f>
        <v>-1.0638328595558875E-14</v>
      </c>
      <c r="L26" s="3">
        <f t="shared" ref="L26:L31" si="62">ABS((H26-H25)/H26)</f>
        <v>3.4412757139434054E-8</v>
      </c>
      <c r="M26" s="3">
        <f t="shared" ref="M26:M31" si="63">ABS(($C$5-H26)/$C$5)</f>
        <v>2.9351089072291769E-5</v>
      </c>
    </row>
    <row r="27" spans="5:13" x14ac:dyDescent="0.3">
      <c r="E27" s="1">
        <v>24</v>
      </c>
      <c r="F27" s="3">
        <f t="shared" si="56"/>
        <v>1.7320507764816284</v>
      </c>
      <c r="G27" s="3">
        <f t="shared" si="57"/>
        <v>1.7320508360862732</v>
      </c>
      <c r="H27" s="15">
        <f t="shared" si="58"/>
        <v>1.7320508062839508</v>
      </c>
      <c r="I27" s="3">
        <f t="shared" si="59"/>
        <v>-1.0768938807359518E-7</v>
      </c>
      <c r="J27" s="3">
        <f t="shared" si="60"/>
        <v>-4.4511159202897943E-9</v>
      </c>
      <c r="K27" s="3">
        <f t="shared" si="61"/>
        <v>4.7933794970064542E-16</v>
      </c>
      <c r="L27" s="3">
        <f t="shared" si="62"/>
        <v>1.7206378865776496E-8</v>
      </c>
      <c r="M27" s="3">
        <f t="shared" si="63"/>
        <v>2.9333882188696103E-5</v>
      </c>
    </row>
    <row r="28" spans="5:13" x14ac:dyDescent="0.3">
      <c r="E28" s="1">
        <v>25</v>
      </c>
      <c r="F28" s="3">
        <f t="shared" si="56"/>
        <v>1.7320508062839508</v>
      </c>
      <c r="G28" s="3">
        <f t="shared" si="57"/>
        <v>1.7320508360862732</v>
      </c>
      <c r="H28" s="15">
        <f t="shared" si="58"/>
        <v>1.732050821185112</v>
      </c>
      <c r="I28" s="3">
        <f t="shared" si="59"/>
        <v>-4.4511159202897943E-9</v>
      </c>
      <c r="J28" s="3">
        <f t="shared" si="60"/>
        <v>4.716802060045211E-8</v>
      </c>
      <c r="K28" s="3">
        <f t="shared" si="61"/>
        <v>-2.0995032742322937E-16</v>
      </c>
      <c r="L28" s="3">
        <f t="shared" si="62"/>
        <v>8.6031893588733808E-9</v>
      </c>
      <c r="M28" s="3">
        <f t="shared" si="63"/>
        <v>2.9342485630493936E-5</v>
      </c>
    </row>
    <row r="29" spans="5:13" x14ac:dyDescent="0.3">
      <c r="E29" s="4">
        <v>26</v>
      </c>
      <c r="F29" s="4">
        <f t="shared" si="56"/>
        <v>1.7320508062839508</v>
      </c>
      <c r="G29" s="4">
        <f t="shared" si="57"/>
        <v>1.732050821185112</v>
      </c>
      <c r="H29" s="4">
        <f t="shared" si="58"/>
        <v>1.7320508137345314</v>
      </c>
      <c r="I29" s="4">
        <f t="shared" si="59"/>
        <v>-4.4511159202897943E-9</v>
      </c>
      <c r="J29" s="4">
        <f t="shared" si="60"/>
        <v>2.1358452340081158E-8</v>
      </c>
      <c r="K29" s="4">
        <f t="shared" si="61"/>
        <v>-9.5068947243686053E-17</v>
      </c>
      <c r="L29" s="5">
        <f t="shared" si="62"/>
        <v>4.3015946979404072E-9</v>
      </c>
      <c r="M29" s="5">
        <f t="shared" si="63"/>
        <v>2.9338183909595021E-5</v>
      </c>
    </row>
    <row r="30" spans="5:13" x14ac:dyDescent="0.3">
      <c r="E30" s="4">
        <v>27</v>
      </c>
      <c r="F30" s="4">
        <f t="shared" si="56"/>
        <v>1.7320508062839508</v>
      </c>
      <c r="G30" s="4">
        <f t="shared" si="57"/>
        <v>1.7320508137345314</v>
      </c>
      <c r="H30" s="4">
        <f t="shared" si="58"/>
        <v>1.7320508100092411</v>
      </c>
      <c r="I30" s="4">
        <f t="shared" si="59"/>
        <v>-4.4511159202897943E-9</v>
      </c>
      <c r="J30" s="4">
        <f t="shared" si="60"/>
        <v>8.4536684319402866E-9</v>
      </c>
      <c r="K30" s="4">
        <f t="shared" si="61"/>
        <v>-3.7628258142260671E-17</v>
      </c>
      <c r="L30" s="5">
        <f t="shared" si="62"/>
        <v>2.150797353596133E-9</v>
      </c>
      <c r="M30" s="5">
        <f t="shared" si="63"/>
        <v>2.9336033049145562E-5</v>
      </c>
    </row>
    <row r="31" spans="5:13" x14ac:dyDescent="0.3">
      <c r="E31" s="4">
        <v>28</v>
      </c>
      <c r="F31" s="4">
        <f t="shared" si="56"/>
        <v>1.7320508062839508</v>
      </c>
      <c r="G31" s="4">
        <f t="shared" si="57"/>
        <v>1.7320508100092411</v>
      </c>
      <c r="H31" s="4">
        <f t="shared" si="58"/>
        <v>1.732050808146596</v>
      </c>
      <c r="I31" s="4">
        <f t="shared" si="59"/>
        <v>-4.4511159202897943E-9</v>
      </c>
      <c r="J31" s="4">
        <f t="shared" si="60"/>
        <v>2.0012760337806412E-9</v>
      </c>
      <c r="K31" s="4">
        <f t="shared" si="61"/>
        <v>-8.9079116148554284E-18</v>
      </c>
      <c r="L31" s="5">
        <f t="shared" si="62"/>
        <v>1.0753986779545488E-9</v>
      </c>
      <c r="M31" s="5">
        <f t="shared" si="63"/>
        <v>2.9334957618920834E-5</v>
      </c>
    </row>
  </sheetData>
  <mergeCells count="11">
    <mergeCell ref="A2:D2"/>
    <mergeCell ref="A3:D3"/>
    <mergeCell ref="P2:R2"/>
    <mergeCell ref="P3:R3"/>
    <mergeCell ref="AE6:AF6"/>
    <mergeCell ref="AO2:AQ2"/>
    <mergeCell ref="AP4:AQ4"/>
    <mergeCell ref="Q4:R4"/>
    <mergeCell ref="Q5:R5"/>
    <mergeCell ref="AD2:AF2"/>
    <mergeCell ref="AE5:A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resty widya</cp:lastModifiedBy>
  <dcterms:created xsi:type="dcterms:W3CDTF">2026-09-18T06:34:54Z</dcterms:created>
  <dcterms:modified xsi:type="dcterms:W3CDTF">2026-09-20T14:47:10Z</dcterms:modified>
</cp:coreProperties>
</file>